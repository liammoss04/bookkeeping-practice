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of Accounts" sheetId="1" r:id="rId5"/>
    <sheet state="visible" name="Transactions" sheetId="2" r:id="rId6"/>
    <sheet state="visible" name="Journal" sheetId="3" r:id="rId7"/>
    <sheet state="visible" name="Trial Balance" sheetId="4" r:id="rId8"/>
    <sheet state="visible" name="P&amp;L and Balance Sheet" sheetId="5" r:id="rId9"/>
    <sheet state="visible" name="Bank Reconciliation" sheetId="6" r:id="rId10"/>
  </sheets>
  <definedNames/>
  <calcPr/>
</workbook>
</file>

<file path=xl/sharedStrings.xml><?xml version="1.0" encoding="utf-8"?>
<sst xmlns="http://schemas.openxmlformats.org/spreadsheetml/2006/main" count="360" uniqueCount="161">
  <si>
    <t>CHART OF ACCOUNTS</t>
  </si>
  <si>
    <t>TRANSACTIONS - what happened (post these on the Journal tab)</t>
  </si>
  <si>
    <t>TRIAL BALANCE (fills automatically from the Journal)</t>
  </si>
  <si>
    <t>Code</t>
  </si>
  <si>
    <t>Account</t>
  </si>
  <si>
    <t>T#</t>
  </si>
  <si>
    <t>Account name</t>
  </si>
  <si>
    <t>Type</t>
  </si>
  <si>
    <t>Date</t>
  </si>
  <si>
    <t>Debit</t>
  </si>
  <si>
    <t>Description</t>
  </si>
  <si>
    <t>Amount</t>
  </si>
  <si>
    <t>Credit</t>
  </si>
  <si>
    <t>Bank</t>
  </si>
  <si>
    <t>Asset</t>
  </si>
  <si>
    <t>T1</t>
  </si>
  <si>
    <t>Cash</t>
  </si>
  <si>
    <t>Inventory</t>
  </si>
  <si>
    <t>Equipment</t>
  </si>
  <si>
    <t>Trade Creditors</t>
  </si>
  <si>
    <t>Liability</t>
  </si>
  <si>
    <t>Bank Loan</t>
  </si>
  <si>
    <t>Owner's Capital</t>
  </si>
  <si>
    <t>Equity</t>
  </si>
  <si>
    <t>Drawings</t>
  </si>
  <si>
    <t>Sales</t>
  </si>
  <si>
    <t>Income</t>
  </si>
  <si>
    <t>Purchases</t>
  </si>
  <si>
    <t>Expense</t>
  </si>
  <si>
    <t>Rent</t>
  </si>
  <si>
    <t>Wages</t>
  </si>
  <si>
    <t>Utilities</t>
  </si>
  <si>
    <t>Insurance</t>
  </si>
  <si>
    <t>02 Jan</t>
  </si>
  <si>
    <t>Marketing</t>
  </si>
  <si>
    <t>Sundry Expenses</t>
  </si>
  <si>
    <t>GENERAL JOURNAL - post every transaction here (equal debits and credits)</t>
  </si>
  <si>
    <t>Owner pays 12,000 of personal savings into the business bank account (capital introduced).</t>
  </si>
  <si>
    <t>First 3 are worked examples. Pick the Account from the dropdown. Each transaction's debits must equal its credits.</t>
  </si>
  <si>
    <t>T2</t>
  </si>
  <si>
    <t>03 Jan</t>
  </si>
  <si>
    <t>Buys a commercial espresso machine and equipment, paid by bank transfer.</t>
  </si>
  <si>
    <t>T3</t>
  </si>
  <si>
    <t>05 Jan</t>
  </si>
  <si>
    <t>Receives a 6,000 bank loan into the business bank account.</t>
  </si>
  <si>
    <t>T4</t>
  </si>
  <si>
    <t>06 Jan</t>
  </si>
  <si>
    <t>Pays January shop rent by bank.</t>
  </si>
  <si>
    <t>T5</t>
  </si>
  <si>
    <t>07 Jan</t>
  </si>
  <si>
    <t>Buys coffee beans, milk and supplies (stock), paid by bank.</t>
  </si>
  <si>
    <t>T6</t>
  </si>
  <si>
    <t>10 Jan</t>
  </si>
  <si>
    <t>Buys shop fittings and furniture (equipment), paid by bank.</t>
  </si>
  <si>
    <t>T7</t>
  </si>
  <si>
    <t>15 Jan</t>
  </si>
  <si>
    <t>Cash sales for the first half of January, banked.</t>
  </si>
  <si>
    <t>T8</t>
  </si>
  <si>
    <t>20 Jan</t>
  </si>
  <si>
    <t>Pays for marketing flyers, by bank.</t>
  </si>
  <si>
    <t>T9</t>
  </si>
  <si>
    <t>28 Jan</t>
  </si>
  <si>
    <t>Pays part-time barista wages, by bank.</t>
  </si>
  <si>
    <t>T10</t>
  </si>
  <si>
    <t>31 Jan</t>
  </si>
  <si>
    <t>Cash sales for the second half of January, banked.</t>
  </si>
  <si>
    <t>T11</t>
  </si>
  <si>
    <t>Pays January electricity and water, by bank.</t>
  </si>
  <si>
    <t>T12</t>
  </si>
  <si>
    <t>02 Feb</t>
  </si>
  <si>
    <t>Buys more stock (beans, milk, cups), paid by bank.</t>
  </si>
  <si>
    <t>T13</t>
  </si>
  <si>
    <t>05 Feb</t>
  </si>
  <si>
    <t>Capital introduced</t>
  </si>
  <si>
    <t>Pays February shop rent, by bank.</t>
  </si>
  <si>
    <t>T14</t>
  </si>
  <si>
    <t>12 Feb</t>
  </si>
  <si>
    <t>Buys stock on credit from Bean Supplier Ltd (owes the money).</t>
  </si>
  <si>
    <t>T15</t>
  </si>
  <si>
    <t>18 Feb</t>
  </si>
  <si>
    <t>Cash sales, banked.</t>
  </si>
  <si>
    <t>T16</t>
  </si>
  <si>
    <t>25 Feb</t>
  </si>
  <si>
    <t>Pays barista wages, by bank.</t>
  </si>
  <si>
    <t>T17</t>
  </si>
  <si>
    <t>26 Feb</t>
  </si>
  <si>
    <t>Pays Bean Supplier Ltd in full for the 12 Feb credit purchase, by bank.</t>
  </si>
  <si>
    <t>T18</t>
  </si>
  <si>
    <t>28 Feb</t>
  </si>
  <si>
    <t>Owner withdraws cash for personal use (drawings), by bank.</t>
  </si>
  <si>
    <t>T19</t>
  </si>
  <si>
    <t>Pays February utilities, by bank.</t>
  </si>
  <si>
    <t>T20</t>
  </si>
  <si>
    <t>03 Mar</t>
  </si>
  <si>
    <t>Pays March shop rent, by bank.</t>
  </si>
  <si>
    <t>T21</t>
  </si>
  <si>
    <t>10 Mar</t>
  </si>
  <si>
    <t>Buys stock, paid by bank.</t>
  </si>
  <si>
    <t>T22</t>
  </si>
  <si>
    <t>20 Mar</t>
  </si>
  <si>
    <t>T23</t>
  </si>
  <si>
    <t>27 Mar</t>
  </si>
  <si>
    <t>T24</t>
  </si>
  <si>
    <t>29 Mar</t>
  </si>
  <si>
    <t>Pays annual insurance premium, by bank.</t>
  </si>
  <si>
    <t>T25</t>
  </si>
  <si>
    <t>31 Mar</t>
  </si>
  <si>
    <t>Repays part of the bank loan (principal only), by bank.</t>
  </si>
  <si>
    <t>T26</t>
  </si>
  <si>
    <t>T27</t>
  </si>
  <si>
    <t>Pays March utilities, by bank.</t>
  </si>
  <si>
    <t>Espresso machine / equipment</t>
  </si>
  <si>
    <t>Bank loan received</t>
  </si>
  <si>
    <t>PROFIT &amp; LOSS  and  BALANCE SHEET (fill automatically)</t>
  </si>
  <si>
    <t>Jan shop rent</t>
  </si>
  <si>
    <t>PROFIT &amp; LOSS (Quarter)</t>
  </si>
  <si>
    <t>BALANCE SHEET (as at 31 Mar)</t>
  </si>
  <si>
    <t>Stock purchased</t>
  </si>
  <si>
    <t>ASSETS</t>
  </si>
  <si>
    <t>Less: Purchases</t>
  </si>
  <si>
    <t>Less: Rent</t>
  </si>
  <si>
    <t>Less: Wages</t>
  </si>
  <si>
    <t xml:space="preserve">Furniture / equipment </t>
  </si>
  <si>
    <t>Less: Utilities</t>
  </si>
  <si>
    <t>Less: Insurance</t>
  </si>
  <si>
    <t>Cash sales banked</t>
  </si>
  <si>
    <t>Total assets</t>
  </si>
  <si>
    <t>Less: Marketing</t>
  </si>
  <si>
    <t>LIABILITIES</t>
  </si>
  <si>
    <t>Less: Sundry Expenses</t>
  </si>
  <si>
    <t>Part time wages</t>
  </si>
  <si>
    <t>NET PROFIT</t>
  </si>
  <si>
    <t>Total liabilities</t>
  </si>
  <si>
    <t>NET ASSETS</t>
  </si>
  <si>
    <t>FINANCED BY</t>
  </si>
  <si>
    <t>Add: Net profit</t>
  </si>
  <si>
    <t>Less: Drawings</t>
  </si>
  <si>
    <t>BANK RECONCILIATION (as at 31 Mar 2026)</t>
  </si>
  <si>
    <t>Jan utility Bills</t>
  </si>
  <si>
    <t>Total equity</t>
  </si>
  <si>
    <t>Agree your Bank ledger balance to the bank statement. Fill the yellow cell.</t>
  </si>
  <si>
    <t>Bank statement closing balance (given by the bank):</t>
  </si>
  <si>
    <t>Check: Net assets = Total equity?</t>
  </si>
  <si>
    <t>Add: 31 Mar cash sales banked but not yet on the statement (deposit in transit):</t>
  </si>
  <si>
    <t>Adjusted bank statement balance (statement + deposit in transit):</t>
  </si>
  <si>
    <t>Feb shop rent</t>
  </si>
  <si>
    <t>Stock purchased on credit</t>
  </si>
  <si>
    <t>Your Bank ledger balance (from Trial Balance, AFTER you post the 25 bank charge):</t>
  </si>
  <si>
    <t>Do they agree?</t>
  </si>
  <si>
    <t>Paid stock purchase credit</t>
  </si>
  <si>
    <t>The 25 bank charge is a cash-book adjustment: it is already on the statement, so post it in the Journal</t>
  </si>
  <si>
    <t>(Debit Sundry Expenses, Credit Bank). That is why it adjusts your ledger, not the statement side.</t>
  </si>
  <si>
    <t>Hint: the deposit in transit is 2,900.</t>
  </si>
  <si>
    <t>Feb utility Bills</t>
  </si>
  <si>
    <t>Mar shop rent</t>
  </si>
  <si>
    <t>Annual insurance premium</t>
  </si>
  <si>
    <t>Principal repaid</t>
  </si>
  <si>
    <t>Mar utility Bills</t>
  </si>
  <si>
    <t>TOTAL</t>
  </si>
  <si>
    <t>Balanced?</t>
  </si>
  <si>
    <t>Debits = Credits?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</si>
</sst>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;-"/>
    <numFmt numFmtId="165" formatCode="#,##0;(#,##0)"/>
    <numFmt numFmtId="166" formatCode="d mmm"/>
    <numFmt numFmtId="167" formatCode="dd mmm"/>
  </numFmts>
  <fonts count="15">
    <font>
      <sz val="11.0"/>
      <color theme="1"/>
      <name val="Calibri"/>
      <scheme val="minor"/>
    </font>
    <font>
      <b/>
      <sz val="13.0"/>
      <color rgb="FF1F3864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i/>
      <sz val="9.0"/>
      <color rgb="FF595959"/>
      <name val="Arial"/>
    </font>
    <font>
      <color rgb="FF000000"/>
      <name val="Arial"/>
    </font>
    <font>
      <b/>
      <color rgb="FF2E7D32"/>
      <name val="Arial"/>
    </font>
    <font>
      <b/>
      <color rgb="FF0000FF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rgb="FF2E7D32"/>
      <name val="Arial"/>
    </font>
    <font>
      <b/>
      <sz val="11.0"/>
      <color rgb="FF0000FF"/>
      <name val="Arial"/>
    </font>
    <font>
      <b/>
      <color rgb="FF1F3864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</fills>
  <borders count="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2" fillId="0" fontId="4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3" xfId="0" applyAlignment="1" applyBorder="1" applyFont="1" applyNumberFormat="1">
      <alignment shrinkToFit="0" vertical="top" wrapText="1"/>
    </xf>
    <xf borderId="0" fillId="0" fontId="5" numFmtId="0" xfId="0" applyFont="1"/>
    <xf borderId="2" fillId="0" fontId="6" numFmtId="164" xfId="0" applyBorder="1" applyFont="1" applyNumberFormat="1"/>
    <xf borderId="2" fillId="0" fontId="7" numFmtId="0" xfId="0" applyBorder="1" applyFont="1"/>
    <xf borderId="2" fillId="0" fontId="8" numFmtId="3" xfId="0" applyBorder="1" applyFont="1" applyNumberFormat="1"/>
    <xf borderId="2" fillId="0" fontId="9" numFmtId="3" xfId="0" applyBorder="1" applyFont="1" applyNumberFormat="1"/>
    <xf borderId="2" fillId="0" fontId="10" numFmtId="0" xfId="0" applyAlignment="1" applyBorder="1" applyFont="1">
      <alignment vertical="bottom"/>
    </xf>
    <xf borderId="2" fillId="0" fontId="10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readingOrder="0" vertical="bottom"/>
    </xf>
    <xf borderId="1" fillId="2" fontId="2" numFmtId="0" xfId="0" applyBorder="1" applyFill="1" applyFont="1"/>
    <xf borderId="2" fillId="0" fontId="11" numFmtId="0" xfId="0" applyAlignment="1" applyBorder="1" applyFont="1">
      <alignment vertical="bottom"/>
    </xf>
    <xf borderId="1" fillId="2" fontId="9" numFmtId="0" xfId="0" applyBorder="1" applyFill="1" applyFont="1"/>
    <xf borderId="2" fillId="0" fontId="12" numFmtId="3" xfId="0" applyAlignment="1" applyBorder="1" applyFont="1" applyNumberFormat="1">
      <alignment horizontal="right" vertical="bottom"/>
    </xf>
    <xf borderId="0" fillId="0" fontId="3" numFmtId="0" xfId="0" applyFont="1"/>
    <xf borderId="2" fillId="0" fontId="9" numFmtId="3" xfId="0" applyAlignment="1" applyBorder="1" applyFont="1" applyNumberFormat="1">
      <alignment vertical="bottom"/>
    </xf>
    <xf borderId="0" fillId="0" fontId="6" numFmtId="165" xfId="0" applyFont="1" applyNumberFormat="1"/>
    <xf borderId="2" fillId="0" fontId="11" numFmtId="0" xfId="0" applyAlignment="1" applyBorder="1" applyFont="1">
      <alignment readingOrder="0" vertical="bottom"/>
    </xf>
    <xf borderId="0" fillId="0" fontId="13" numFmtId="0" xfId="0" applyFont="1"/>
    <xf borderId="0" fillId="0" fontId="14" numFmtId="0" xfId="0" applyFont="1"/>
    <xf borderId="2" fillId="0" fontId="10" numFmtId="166" xfId="0" applyAlignment="1" applyBorder="1" applyFont="1" applyNumberFormat="1">
      <alignment horizontal="left" vertical="bottom"/>
    </xf>
    <xf borderId="2" fillId="0" fontId="3" numFmtId="0" xfId="0" applyAlignment="1" applyBorder="1" applyFont="1">
      <alignment readingOrder="0"/>
    </xf>
    <xf borderId="2" fillId="0" fontId="8" numFmtId="3" xfId="0" applyAlignment="1" applyBorder="1" applyFont="1" applyNumberFormat="1">
      <alignment readingOrder="0"/>
    </xf>
    <xf borderId="0" fillId="0" fontId="4" numFmtId="165" xfId="0" applyFont="1" applyNumberFormat="1"/>
    <xf borderId="0" fillId="0" fontId="4" numFmtId="0" xfId="0" applyFont="1"/>
    <xf borderId="0" fillId="0" fontId="7" numFmtId="165" xfId="0" applyFont="1" applyNumberFormat="1"/>
    <xf borderId="0" fillId="0" fontId="8" numFmtId="3" xfId="0" applyFont="1" applyNumberFormat="1"/>
    <xf borderId="0" fillId="0" fontId="7" numFmtId="0" xfId="0" applyFont="1"/>
    <xf borderId="1" fillId="3" fontId="8" numFmtId="3" xfId="0" applyAlignment="1" applyBorder="1" applyFill="1" applyFont="1" applyNumberFormat="1">
      <alignment readingOrder="0"/>
    </xf>
    <xf borderId="2" fillId="0" fontId="3" numFmtId="167" xfId="0" applyAlignment="1" applyBorder="1" applyFont="1" applyNumberFormat="1">
      <alignment horizontal="left" readingOrder="0"/>
    </xf>
    <xf borderId="0" fillId="0" fontId="4" numFmtId="3" xfId="0" applyFont="1" applyNumberFormat="1"/>
    <xf borderId="0" fillId="0" fontId="6" numFmtId="3" xfId="0" applyFont="1" applyNumberFormat="1"/>
    <xf borderId="3" fillId="0" fontId="3" numFmtId="0" xfId="0" applyBorder="1" applyFont="1"/>
    <xf borderId="3" fillId="0" fontId="3" numFmtId="0" xfId="0" applyAlignment="1" applyBorder="1" applyFont="1">
      <alignment readingOrder="0"/>
    </xf>
    <xf borderId="3" fillId="0" fontId="8" numFmtId="3" xfId="0" applyBorder="1" applyFont="1" applyNumberFormat="1"/>
    <xf borderId="3" fillId="0" fontId="8" numFmtId="3" xfId="0" applyAlignment="1" applyBorder="1" applyFont="1" applyNumberFormat="1">
      <alignment readingOrder="0"/>
    </xf>
    <xf borderId="4" fillId="0" fontId="3" numFmtId="0" xfId="0" applyBorder="1" applyFont="1"/>
    <xf borderId="4" fillId="0" fontId="8" numFmtId="3" xfId="0" applyBorder="1" applyFont="1" applyNumberFormat="1"/>
    <xf borderId="5" fillId="0" fontId="3" numFmtId="0" xfId="0" applyBorder="1" applyFont="1"/>
    <xf borderId="5" fillId="0" fontId="8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3" width="16.0"/>
    <col customWidth="1" min="4" max="26" width="8.71"/>
  </cols>
  <sheetData>
    <row r="1">
      <c r="A1" s="1" t="s">
        <v>0</v>
      </c>
    </row>
    <row r="3">
      <c r="A3" s="2" t="s">
        <v>3</v>
      </c>
      <c r="B3" s="2" t="s">
        <v>6</v>
      </c>
      <c r="C3" s="2" t="s">
        <v>7</v>
      </c>
    </row>
    <row r="4">
      <c r="A4" s="3">
        <v>1000.0</v>
      </c>
      <c r="B4" s="3" t="s">
        <v>13</v>
      </c>
      <c r="C4" s="3" t="s">
        <v>14</v>
      </c>
    </row>
    <row r="5">
      <c r="A5" s="3">
        <v>1010.0</v>
      </c>
      <c r="B5" s="3" t="s">
        <v>16</v>
      </c>
      <c r="C5" s="3" t="s">
        <v>14</v>
      </c>
    </row>
    <row r="6">
      <c r="A6" s="3">
        <v>1100.0</v>
      </c>
      <c r="B6" s="3" t="s">
        <v>17</v>
      </c>
      <c r="C6" s="3" t="s">
        <v>14</v>
      </c>
    </row>
    <row r="7">
      <c r="A7" s="3">
        <v>1200.0</v>
      </c>
      <c r="B7" s="3" t="s">
        <v>18</v>
      </c>
      <c r="C7" s="3" t="s">
        <v>14</v>
      </c>
    </row>
    <row r="8">
      <c r="A8" s="3">
        <v>2000.0</v>
      </c>
      <c r="B8" s="3" t="s">
        <v>19</v>
      </c>
      <c r="C8" s="3" t="s">
        <v>20</v>
      </c>
    </row>
    <row r="9">
      <c r="A9" s="3">
        <v>2100.0</v>
      </c>
      <c r="B9" s="3" t="s">
        <v>21</v>
      </c>
      <c r="C9" s="3" t="s">
        <v>20</v>
      </c>
    </row>
    <row r="10">
      <c r="A10" s="3">
        <v>3000.0</v>
      </c>
      <c r="B10" s="3" t="s">
        <v>22</v>
      </c>
      <c r="C10" s="3" t="s">
        <v>23</v>
      </c>
    </row>
    <row r="11">
      <c r="A11" s="3">
        <v>3100.0</v>
      </c>
      <c r="B11" s="3" t="s">
        <v>24</v>
      </c>
      <c r="C11" s="3" t="s">
        <v>23</v>
      </c>
    </row>
    <row r="12">
      <c r="A12" s="3">
        <v>4000.0</v>
      </c>
      <c r="B12" s="3" t="s">
        <v>25</v>
      </c>
      <c r="C12" s="3" t="s">
        <v>26</v>
      </c>
    </row>
    <row r="13">
      <c r="A13" s="3">
        <v>5000.0</v>
      </c>
      <c r="B13" s="3" t="s">
        <v>27</v>
      </c>
      <c r="C13" s="3" t="s">
        <v>28</v>
      </c>
    </row>
    <row r="14">
      <c r="A14" s="3">
        <v>5100.0</v>
      </c>
      <c r="B14" s="3" t="s">
        <v>29</v>
      </c>
      <c r="C14" s="3" t="s">
        <v>28</v>
      </c>
    </row>
    <row r="15">
      <c r="A15" s="3">
        <v>5200.0</v>
      </c>
      <c r="B15" s="3" t="s">
        <v>30</v>
      </c>
      <c r="C15" s="3" t="s">
        <v>28</v>
      </c>
    </row>
    <row r="16">
      <c r="A16" s="3">
        <v>5300.0</v>
      </c>
      <c r="B16" s="3" t="s">
        <v>31</v>
      </c>
      <c r="C16" s="3" t="s">
        <v>28</v>
      </c>
    </row>
    <row r="17">
      <c r="A17" s="3">
        <v>5400.0</v>
      </c>
      <c r="B17" s="3" t="s">
        <v>32</v>
      </c>
      <c r="C17" s="3" t="s">
        <v>28</v>
      </c>
    </row>
    <row r="18">
      <c r="A18" s="3">
        <v>5500.0</v>
      </c>
      <c r="B18" s="3" t="s">
        <v>34</v>
      </c>
      <c r="C18" s="3" t="s">
        <v>28</v>
      </c>
    </row>
    <row r="19">
      <c r="A19" s="3">
        <v>5600.0</v>
      </c>
      <c r="B19" s="3" t="s">
        <v>35</v>
      </c>
      <c r="C19" s="3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64.0"/>
    <col customWidth="1" min="4" max="4" width="14.0"/>
    <col customWidth="1" min="5" max="26" width="8.71"/>
  </cols>
  <sheetData>
    <row r="1">
      <c r="A1" s="1" t="s">
        <v>1</v>
      </c>
    </row>
    <row r="3">
      <c r="A3" s="2" t="s">
        <v>5</v>
      </c>
      <c r="B3" s="2" t="s">
        <v>8</v>
      </c>
      <c r="C3" s="2" t="s">
        <v>10</v>
      </c>
      <c r="D3" s="2" t="s">
        <v>11</v>
      </c>
    </row>
    <row r="4">
      <c r="A4" s="4" t="s">
        <v>15</v>
      </c>
      <c r="B4" s="5" t="s">
        <v>33</v>
      </c>
      <c r="C4" s="5" t="s">
        <v>37</v>
      </c>
      <c r="D4" s="6">
        <v>12000.0</v>
      </c>
    </row>
    <row r="5">
      <c r="A5" s="4" t="s">
        <v>39</v>
      </c>
      <c r="B5" s="5" t="s">
        <v>40</v>
      </c>
      <c r="C5" s="5" t="s">
        <v>41</v>
      </c>
      <c r="D5" s="6">
        <v>4000.0</v>
      </c>
    </row>
    <row r="6">
      <c r="A6" s="4" t="s">
        <v>42</v>
      </c>
      <c r="B6" s="5" t="s">
        <v>43</v>
      </c>
      <c r="C6" s="5" t="s">
        <v>44</v>
      </c>
      <c r="D6" s="6">
        <v>6000.0</v>
      </c>
    </row>
    <row r="7">
      <c r="A7" s="4" t="s">
        <v>45</v>
      </c>
      <c r="B7" s="5" t="s">
        <v>46</v>
      </c>
      <c r="C7" s="5" t="s">
        <v>47</v>
      </c>
      <c r="D7" s="6">
        <v>900.0</v>
      </c>
    </row>
    <row r="8">
      <c r="A8" s="4" t="s">
        <v>48</v>
      </c>
      <c r="B8" s="5" t="s">
        <v>49</v>
      </c>
      <c r="C8" s="5" t="s">
        <v>50</v>
      </c>
      <c r="D8" s="6">
        <v>1100.0</v>
      </c>
    </row>
    <row r="9">
      <c r="A9" s="4" t="s">
        <v>51</v>
      </c>
      <c r="B9" s="5" t="s">
        <v>52</v>
      </c>
      <c r="C9" s="5" t="s">
        <v>53</v>
      </c>
      <c r="D9" s="6">
        <v>1800.0</v>
      </c>
    </row>
    <row r="10">
      <c r="A10" s="4" t="s">
        <v>54</v>
      </c>
      <c r="B10" s="5" t="s">
        <v>55</v>
      </c>
      <c r="C10" s="5" t="s">
        <v>56</v>
      </c>
      <c r="D10" s="6">
        <v>2300.0</v>
      </c>
    </row>
    <row r="11">
      <c r="A11" s="4" t="s">
        <v>57</v>
      </c>
      <c r="B11" s="5" t="s">
        <v>58</v>
      </c>
      <c r="C11" s="5" t="s">
        <v>59</v>
      </c>
      <c r="D11" s="6">
        <v>150.0</v>
      </c>
    </row>
    <row r="12">
      <c r="A12" s="4" t="s">
        <v>60</v>
      </c>
      <c r="B12" s="5" t="s">
        <v>61</v>
      </c>
      <c r="C12" s="5" t="s">
        <v>62</v>
      </c>
      <c r="D12" s="6">
        <v>1200.0</v>
      </c>
    </row>
    <row r="13">
      <c r="A13" s="4" t="s">
        <v>63</v>
      </c>
      <c r="B13" s="5" t="s">
        <v>64</v>
      </c>
      <c r="C13" s="5" t="s">
        <v>65</v>
      </c>
      <c r="D13" s="6">
        <v>2800.0</v>
      </c>
    </row>
    <row r="14">
      <c r="A14" s="4" t="s">
        <v>66</v>
      </c>
      <c r="B14" s="5" t="s">
        <v>64</v>
      </c>
      <c r="C14" s="5" t="s">
        <v>67</v>
      </c>
      <c r="D14" s="6">
        <v>240.0</v>
      </c>
    </row>
    <row r="15">
      <c r="A15" s="4" t="s">
        <v>68</v>
      </c>
      <c r="B15" s="5" t="s">
        <v>69</v>
      </c>
      <c r="C15" s="5" t="s">
        <v>70</v>
      </c>
      <c r="D15" s="6">
        <v>1300.0</v>
      </c>
    </row>
    <row r="16">
      <c r="A16" s="4" t="s">
        <v>71</v>
      </c>
      <c r="B16" s="5" t="s">
        <v>72</v>
      </c>
      <c r="C16" s="5" t="s">
        <v>74</v>
      </c>
      <c r="D16" s="6">
        <v>900.0</v>
      </c>
    </row>
    <row r="17">
      <c r="A17" s="4" t="s">
        <v>75</v>
      </c>
      <c r="B17" s="5" t="s">
        <v>76</v>
      </c>
      <c r="C17" s="5" t="s">
        <v>77</v>
      </c>
      <c r="D17" s="6">
        <v>900.0</v>
      </c>
    </row>
    <row r="18">
      <c r="A18" s="4" t="s">
        <v>78</v>
      </c>
      <c r="B18" s="5" t="s">
        <v>79</v>
      </c>
      <c r="C18" s="5" t="s">
        <v>80</v>
      </c>
      <c r="D18" s="6">
        <v>3100.0</v>
      </c>
    </row>
    <row r="19">
      <c r="A19" s="4" t="s">
        <v>81</v>
      </c>
      <c r="B19" s="5" t="s">
        <v>82</v>
      </c>
      <c r="C19" s="5" t="s">
        <v>83</v>
      </c>
      <c r="D19" s="6">
        <v>1250.0</v>
      </c>
    </row>
    <row r="20">
      <c r="A20" s="4" t="s">
        <v>84</v>
      </c>
      <c r="B20" s="5" t="s">
        <v>85</v>
      </c>
      <c r="C20" s="5" t="s">
        <v>86</v>
      </c>
      <c r="D20" s="6">
        <v>900.0</v>
      </c>
    </row>
    <row r="21" ht="15.75" customHeight="1">
      <c r="A21" s="4" t="s">
        <v>87</v>
      </c>
      <c r="B21" s="5" t="s">
        <v>88</v>
      </c>
      <c r="C21" s="5" t="s">
        <v>89</v>
      </c>
      <c r="D21" s="6">
        <v>800.0</v>
      </c>
    </row>
    <row r="22" ht="15.75" customHeight="1">
      <c r="A22" s="4" t="s">
        <v>90</v>
      </c>
      <c r="B22" s="5" t="s">
        <v>88</v>
      </c>
      <c r="C22" s="5" t="s">
        <v>91</v>
      </c>
      <c r="D22" s="6">
        <v>260.0</v>
      </c>
    </row>
    <row r="23" ht="15.75" customHeight="1">
      <c r="A23" s="4" t="s">
        <v>92</v>
      </c>
      <c r="B23" s="5" t="s">
        <v>93</v>
      </c>
      <c r="C23" s="5" t="s">
        <v>94</v>
      </c>
      <c r="D23" s="6">
        <v>900.0</v>
      </c>
    </row>
    <row r="24" ht="15.75" customHeight="1">
      <c r="A24" s="4" t="s">
        <v>95</v>
      </c>
      <c r="B24" s="5" t="s">
        <v>96</v>
      </c>
      <c r="C24" s="5" t="s">
        <v>97</v>
      </c>
      <c r="D24" s="6">
        <v>1400.0</v>
      </c>
    </row>
    <row r="25" ht="15.75" customHeight="1">
      <c r="A25" s="4" t="s">
        <v>98</v>
      </c>
      <c r="B25" s="5" t="s">
        <v>99</v>
      </c>
      <c r="C25" s="5" t="s">
        <v>80</v>
      </c>
      <c r="D25" s="6">
        <v>3400.0</v>
      </c>
    </row>
    <row r="26" ht="15.75" customHeight="1">
      <c r="A26" s="4" t="s">
        <v>100</v>
      </c>
      <c r="B26" s="5" t="s">
        <v>101</v>
      </c>
      <c r="C26" s="5" t="s">
        <v>83</v>
      </c>
      <c r="D26" s="6">
        <v>1300.0</v>
      </c>
    </row>
    <row r="27" ht="15.75" customHeight="1">
      <c r="A27" s="4" t="s">
        <v>102</v>
      </c>
      <c r="B27" s="5" t="s">
        <v>103</v>
      </c>
      <c r="C27" s="5" t="s">
        <v>104</v>
      </c>
      <c r="D27" s="6">
        <v>600.0</v>
      </c>
    </row>
    <row r="28" ht="15.75" customHeight="1">
      <c r="A28" s="4" t="s">
        <v>105</v>
      </c>
      <c r="B28" s="5" t="s">
        <v>106</v>
      </c>
      <c r="C28" s="5" t="s">
        <v>107</v>
      </c>
      <c r="D28" s="6">
        <v>500.0</v>
      </c>
    </row>
    <row r="29" ht="15.75" customHeight="1">
      <c r="A29" s="4" t="s">
        <v>108</v>
      </c>
      <c r="B29" s="5" t="s">
        <v>106</v>
      </c>
      <c r="C29" s="5" t="s">
        <v>80</v>
      </c>
      <c r="D29" s="6">
        <v>2900.0</v>
      </c>
    </row>
    <row r="30" ht="15.75" customHeight="1">
      <c r="A30" s="4" t="s">
        <v>109</v>
      </c>
      <c r="B30" s="5" t="s">
        <v>106</v>
      </c>
      <c r="C30" s="5" t="s">
        <v>110</v>
      </c>
      <c r="D30" s="6">
        <v>250.0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40.0"/>
    <col customWidth="1" min="4" max="4" width="24.0"/>
    <col customWidth="1" min="5" max="6" width="13.0"/>
    <col customWidth="1" min="7" max="26" width="8.71"/>
  </cols>
  <sheetData>
    <row r="1">
      <c r="A1" s="1" t="s">
        <v>36</v>
      </c>
    </row>
    <row r="2">
      <c r="A2" s="7" t="s">
        <v>38</v>
      </c>
    </row>
    <row r="4">
      <c r="A4" s="2" t="s">
        <v>5</v>
      </c>
      <c r="B4" s="2" t="s">
        <v>8</v>
      </c>
      <c r="C4" s="2" t="s">
        <v>10</v>
      </c>
      <c r="D4" s="2" t="s">
        <v>4</v>
      </c>
      <c r="E4" s="2" t="s">
        <v>9</v>
      </c>
      <c r="F4" s="2" t="s">
        <v>12</v>
      </c>
    </row>
    <row r="5">
      <c r="A5" s="3" t="s">
        <v>15</v>
      </c>
      <c r="B5" s="3" t="s">
        <v>33</v>
      </c>
      <c r="C5" s="3" t="s">
        <v>73</v>
      </c>
      <c r="D5" s="9" t="s">
        <v>13</v>
      </c>
      <c r="E5" s="10">
        <v>12000.0</v>
      </c>
      <c r="F5" s="11"/>
    </row>
    <row r="6">
      <c r="A6" s="3" t="s">
        <v>15</v>
      </c>
      <c r="B6" s="3" t="s">
        <v>33</v>
      </c>
      <c r="C6" s="3" t="s">
        <v>73</v>
      </c>
      <c r="D6" s="9" t="s">
        <v>22</v>
      </c>
      <c r="E6" s="11"/>
      <c r="F6" s="10">
        <v>12000.0</v>
      </c>
    </row>
    <row r="7">
      <c r="A7" s="3" t="s">
        <v>39</v>
      </c>
      <c r="B7" s="3" t="s">
        <v>40</v>
      </c>
      <c r="C7" s="3" t="s">
        <v>111</v>
      </c>
      <c r="D7" s="9" t="s">
        <v>18</v>
      </c>
      <c r="E7" s="10">
        <v>4000.0</v>
      </c>
      <c r="F7" s="11"/>
    </row>
    <row r="8">
      <c r="A8" s="3" t="s">
        <v>39</v>
      </c>
      <c r="B8" s="3" t="s">
        <v>40</v>
      </c>
      <c r="C8" s="3" t="s">
        <v>111</v>
      </c>
      <c r="D8" s="9" t="s">
        <v>13</v>
      </c>
      <c r="E8" s="11"/>
      <c r="F8" s="10">
        <v>4000.0</v>
      </c>
    </row>
    <row r="9">
      <c r="A9" s="3" t="s">
        <v>42</v>
      </c>
      <c r="B9" s="3" t="s">
        <v>43</v>
      </c>
      <c r="C9" s="3" t="s">
        <v>112</v>
      </c>
      <c r="D9" s="9" t="s">
        <v>13</v>
      </c>
      <c r="E9" s="10">
        <v>6000.0</v>
      </c>
      <c r="F9" s="11"/>
    </row>
    <row r="10">
      <c r="A10" s="3" t="s">
        <v>42</v>
      </c>
      <c r="B10" s="3" t="s">
        <v>43</v>
      </c>
      <c r="C10" s="3" t="s">
        <v>112</v>
      </c>
      <c r="D10" s="9" t="s">
        <v>21</v>
      </c>
      <c r="E10" s="11"/>
      <c r="F10" s="10">
        <v>6000.0</v>
      </c>
    </row>
    <row r="11">
      <c r="A11" s="12" t="str">
        <f t="shared" ref="A11:A58" si="1">"T"&amp;(4+INT((ROW()-11)/2))</f>
        <v>T4</v>
      </c>
      <c r="B11" s="13" t="s">
        <v>46</v>
      </c>
      <c r="C11" s="14" t="s">
        <v>114</v>
      </c>
      <c r="D11" s="16" t="s">
        <v>29</v>
      </c>
      <c r="E11" s="18">
        <v>900.0</v>
      </c>
      <c r="F11" s="20"/>
    </row>
    <row r="12">
      <c r="A12" s="12" t="str">
        <f t="shared" si="1"/>
        <v>T4</v>
      </c>
      <c r="B12" s="13" t="s">
        <v>46</v>
      </c>
      <c r="C12" s="14" t="s">
        <v>114</v>
      </c>
      <c r="D12" s="16" t="s">
        <v>13</v>
      </c>
      <c r="E12" s="20"/>
      <c r="F12" s="18">
        <v>900.0</v>
      </c>
    </row>
    <row r="13">
      <c r="A13" s="12" t="str">
        <f t="shared" si="1"/>
        <v>T5</v>
      </c>
      <c r="B13" s="13" t="s">
        <v>49</v>
      </c>
      <c r="C13" s="12" t="s">
        <v>117</v>
      </c>
      <c r="D13" s="22" t="s">
        <v>27</v>
      </c>
      <c r="E13" s="18">
        <v>1100.0</v>
      </c>
      <c r="F13" s="20"/>
    </row>
    <row r="14">
      <c r="A14" s="12" t="str">
        <f t="shared" si="1"/>
        <v>T5</v>
      </c>
      <c r="B14" s="13" t="s">
        <v>49</v>
      </c>
      <c r="C14" s="12" t="s">
        <v>117</v>
      </c>
      <c r="D14" s="22" t="s">
        <v>13</v>
      </c>
      <c r="E14" s="20"/>
      <c r="F14" s="18">
        <v>1100.0</v>
      </c>
    </row>
    <row r="15">
      <c r="A15" s="12" t="str">
        <f t="shared" si="1"/>
        <v>T6</v>
      </c>
      <c r="B15" s="25">
        <v>46032.0</v>
      </c>
      <c r="C15" s="12" t="s">
        <v>122</v>
      </c>
      <c r="D15" s="16" t="s">
        <v>18</v>
      </c>
      <c r="E15" s="18">
        <v>1800.0</v>
      </c>
      <c r="F15" s="20"/>
    </row>
    <row r="16">
      <c r="A16" s="12" t="str">
        <f t="shared" si="1"/>
        <v>T6</v>
      </c>
      <c r="B16" s="25">
        <v>46032.0</v>
      </c>
      <c r="C16" s="12" t="s">
        <v>122</v>
      </c>
      <c r="D16" s="16" t="s">
        <v>13</v>
      </c>
      <c r="E16" s="20"/>
      <c r="F16" s="18">
        <v>1800.0</v>
      </c>
    </row>
    <row r="17">
      <c r="A17" s="12" t="str">
        <f t="shared" si="1"/>
        <v>T7</v>
      </c>
      <c r="B17" s="5" t="s">
        <v>55</v>
      </c>
      <c r="C17" s="26" t="s">
        <v>125</v>
      </c>
      <c r="D17" s="22" t="s">
        <v>13</v>
      </c>
      <c r="E17" s="27">
        <v>2300.0</v>
      </c>
      <c r="F17" s="10"/>
    </row>
    <row r="18">
      <c r="A18" s="12" t="str">
        <f t="shared" si="1"/>
        <v>T7</v>
      </c>
      <c r="B18" s="5" t="s">
        <v>55</v>
      </c>
      <c r="C18" s="26" t="s">
        <v>125</v>
      </c>
      <c r="D18" s="22" t="s">
        <v>25</v>
      </c>
      <c r="E18" s="10"/>
      <c r="F18" s="27">
        <v>2300.0</v>
      </c>
    </row>
    <row r="19">
      <c r="A19" s="12" t="str">
        <f t="shared" si="1"/>
        <v>T8</v>
      </c>
      <c r="B19" s="5" t="s">
        <v>58</v>
      </c>
      <c r="C19" s="26" t="s">
        <v>34</v>
      </c>
      <c r="D19" s="22" t="s">
        <v>34</v>
      </c>
      <c r="E19" s="27">
        <v>150.0</v>
      </c>
      <c r="F19" s="10"/>
    </row>
    <row r="20">
      <c r="A20" s="12" t="str">
        <f t="shared" si="1"/>
        <v>T8</v>
      </c>
      <c r="B20" s="5" t="s">
        <v>58</v>
      </c>
      <c r="C20" s="26" t="s">
        <v>34</v>
      </c>
      <c r="D20" s="22" t="s">
        <v>13</v>
      </c>
      <c r="E20" s="10"/>
      <c r="F20" s="27">
        <v>150.0</v>
      </c>
    </row>
    <row r="21" ht="15.75" customHeight="1">
      <c r="A21" s="12" t="str">
        <f t="shared" si="1"/>
        <v>T9</v>
      </c>
      <c r="B21" s="5" t="s">
        <v>61</v>
      </c>
      <c r="C21" s="26" t="s">
        <v>130</v>
      </c>
      <c r="D21" s="22" t="s">
        <v>30</v>
      </c>
      <c r="E21" s="27">
        <v>1200.0</v>
      </c>
      <c r="F21" s="10"/>
    </row>
    <row r="22" ht="15.75" customHeight="1">
      <c r="A22" s="12" t="str">
        <f t="shared" si="1"/>
        <v>T9</v>
      </c>
      <c r="B22" s="5" t="s">
        <v>61</v>
      </c>
      <c r="C22" s="26" t="s">
        <v>130</v>
      </c>
      <c r="D22" s="22" t="s">
        <v>13</v>
      </c>
      <c r="E22" s="10"/>
      <c r="F22" s="27">
        <v>1200.0</v>
      </c>
    </row>
    <row r="23" ht="15.75" customHeight="1">
      <c r="A23" s="12" t="str">
        <f t="shared" si="1"/>
        <v>T10</v>
      </c>
      <c r="B23" s="5" t="s">
        <v>64</v>
      </c>
      <c r="C23" s="26" t="s">
        <v>125</v>
      </c>
      <c r="D23" s="22" t="s">
        <v>13</v>
      </c>
      <c r="E23" s="27">
        <v>2800.0</v>
      </c>
      <c r="F23" s="10"/>
    </row>
    <row r="24" ht="15.75" customHeight="1">
      <c r="A24" s="12" t="str">
        <f t="shared" si="1"/>
        <v>T10</v>
      </c>
      <c r="B24" s="5" t="s">
        <v>64</v>
      </c>
      <c r="C24" s="26" t="s">
        <v>125</v>
      </c>
      <c r="D24" s="22" t="s">
        <v>25</v>
      </c>
      <c r="E24" s="10"/>
      <c r="F24" s="27">
        <v>2800.0</v>
      </c>
    </row>
    <row r="25" ht="15.75" customHeight="1">
      <c r="A25" s="12" t="str">
        <f t="shared" si="1"/>
        <v>T11</v>
      </c>
      <c r="B25" s="5" t="s">
        <v>64</v>
      </c>
      <c r="C25" s="26" t="s">
        <v>138</v>
      </c>
      <c r="D25" s="22" t="s">
        <v>31</v>
      </c>
      <c r="E25" s="27">
        <v>240.0</v>
      </c>
      <c r="F25" s="10"/>
    </row>
    <row r="26" ht="15.75" customHeight="1">
      <c r="A26" s="12" t="str">
        <f t="shared" si="1"/>
        <v>T11</v>
      </c>
      <c r="B26" s="5" t="s">
        <v>64</v>
      </c>
      <c r="C26" s="26" t="s">
        <v>138</v>
      </c>
      <c r="D26" s="22" t="s">
        <v>13</v>
      </c>
      <c r="E26" s="10"/>
      <c r="F26" s="27">
        <v>240.0</v>
      </c>
    </row>
    <row r="27" ht="15.75" customHeight="1">
      <c r="A27" s="12" t="str">
        <f t="shared" si="1"/>
        <v>T12</v>
      </c>
      <c r="B27" s="5" t="s">
        <v>69</v>
      </c>
      <c r="C27" s="12" t="s">
        <v>117</v>
      </c>
      <c r="D27" s="22" t="s">
        <v>27</v>
      </c>
      <c r="E27" s="27">
        <v>1300.0</v>
      </c>
      <c r="F27" s="10"/>
    </row>
    <row r="28" ht="15.75" customHeight="1">
      <c r="A28" s="12" t="str">
        <f t="shared" si="1"/>
        <v>T12</v>
      </c>
      <c r="B28" s="34">
        <v>46055.0</v>
      </c>
      <c r="C28" s="12" t="s">
        <v>117</v>
      </c>
      <c r="D28" s="22" t="s">
        <v>13</v>
      </c>
      <c r="E28" s="10"/>
      <c r="F28" s="27">
        <v>1300.0</v>
      </c>
    </row>
    <row r="29" ht="15.75" customHeight="1">
      <c r="A29" s="12" t="str">
        <f t="shared" si="1"/>
        <v>T13</v>
      </c>
      <c r="B29" s="5" t="s">
        <v>72</v>
      </c>
      <c r="C29" s="14" t="s">
        <v>145</v>
      </c>
      <c r="D29" s="22" t="s">
        <v>29</v>
      </c>
      <c r="E29" s="18">
        <v>900.0</v>
      </c>
      <c r="F29" s="20"/>
    </row>
    <row r="30" ht="15.75" customHeight="1">
      <c r="A30" s="12" t="str">
        <f t="shared" si="1"/>
        <v>T13</v>
      </c>
      <c r="B30" s="5" t="s">
        <v>72</v>
      </c>
      <c r="C30" s="14" t="s">
        <v>145</v>
      </c>
      <c r="D30" s="22" t="s">
        <v>13</v>
      </c>
      <c r="E30" s="20"/>
      <c r="F30" s="18">
        <v>900.0</v>
      </c>
    </row>
    <row r="31" ht="15.75" customHeight="1">
      <c r="A31" s="12" t="str">
        <f t="shared" si="1"/>
        <v>T14</v>
      </c>
      <c r="B31" s="5" t="s">
        <v>76</v>
      </c>
      <c r="C31" s="14" t="s">
        <v>146</v>
      </c>
      <c r="D31" s="22" t="s">
        <v>27</v>
      </c>
      <c r="E31" s="18">
        <v>900.0</v>
      </c>
      <c r="F31" s="20"/>
    </row>
    <row r="32" ht="15.75" customHeight="1">
      <c r="A32" s="12" t="str">
        <f t="shared" si="1"/>
        <v>T14</v>
      </c>
      <c r="B32" s="5" t="s">
        <v>76</v>
      </c>
      <c r="C32" s="14" t="s">
        <v>146</v>
      </c>
      <c r="D32" s="22" t="s">
        <v>19</v>
      </c>
      <c r="E32" s="20"/>
      <c r="F32" s="18">
        <v>900.0</v>
      </c>
    </row>
    <row r="33" ht="15.75" customHeight="1">
      <c r="A33" s="12" t="str">
        <f t="shared" si="1"/>
        <v>T15</v>
      </c>
      <c r="B33" s="5" t="s">
        <v>79</v>
      </c>
      <c r="C33" s="26" t="s">
        <v>125</v>
      </c>
      <c r="D33" s="22" t="s">
        <v>13</v>
      </c>
      <c r="E33" s="27">
        <v>3100.0</v>
      </c>
      <c r="F33" s="10"/>
    </row>
    <row r="34" ht="15.75" customHeight="1">
      <c r="A34" s="12" t="str">
        <f t="shared" si="1"/>
        <v>T15</v>
      </c>
      <c r="B34" s="5" t="s">
        <v>79</v>
      </c>
      <c r="C34" s="26" t="s">
        <v>125</v>
      </c>
      <c r="D34" s="22" t="s">
        <v>25</v>
      </c>
      <c r="E34" s="10"/>
      <c r="F34" s="27">
        <v>3100.0</v>
      </c>
    </row>
    <row r="35" ht="15.75" customHeight="1">
      <c r="A35" s="12" t="str">
        <f t="shared" si="1"/>
        <v>T16</v>
      </c>
      <c r="B35" s="5" t="s">
        <v>82</v>
      </c>
      <c r="C35" s="26" t="s">
        <v>30</v>
      </c>
      <c r="D35" s="22" t="s">
        <v>30</v>
      </c>
      <c r="E35" s="27">
        <v>1250.0</v>
      </c>
      <c r="F35" s="10"/>
    </row>
    <row r="36" ht="15.75" customHeight="1">
      <c r="A36" s="12" t="str">
        <f t="shared" si="1"/>
        <v>T16</v>
      </c>
      <c r="B36" s="5" t="s">
        <v>82</v>
      </c>
      <c r="C36" s="26" t="s">
        <v>30</v>
      </c>
      <c r="D36" s="22" t="s">
        <v>13</v>
      </c>
      <c r="E36" s="10"/>
      <c r="F36" s="27">
        <v>1250.0</v>
      </c>
    </row>
    <row r="37" ht="15.75" customHeight="1">
      <c r="A37" s="12" t="str">
        <f t="shared" si="1"/>
        <v>T17</v>
      </c>
      <c r="B37" s="5" t="s">
        <v>85</v>
      </c>
      <c r="C37" s="26" t="s">
        <v>149</v>
      </c>
      <c r="D37" s="22" t="s">
        <v>19</v>
      </c>
      <c r="E37" s="18">
        <v>900.0</v>
      </c>
      <c r="F37" s="20"/>
    </row>
    <row r="38" ht="15.75" customHeight="1">
      <c r="A38" s="12" t="str">
        <f t="shared" si="1"/>
        <v>T17</v>
      </c>
      <c r="B38" s="5" t="s">
        <v>85</v>
      </c>
      <c r="C38" s="26" t="s">
        <v>149</v>
      </c>
      <c r="D38" s="22" t="s">
        <v>13</v>
      </c>
      <c r="E38" s="20"/>
      <c r="F38" s="18">
        <v>900.0</v>
      </c>
    </row>
    <row r="39" ht="15.75" customHeight="1">
      <c r="A39" s="12" t="str">
        <f t="shared" si="1"/>
        <v>T18</v>
      </c>
      <c r="B39" s="5" t="s">
        <v>88</v>
      </c>
      <c r="C39" s="26" t="s">
        <v>24</v>
      </c>
      <c r="D39" s="22" t="s">
        <v>24</v>
      </c>
      <c r="E39" s="27">
        <v>800.0</v>
      </c>
      <c r="F39" s="10"/>
    </row>
    <row r="40" ht="15.75" customHeight="1">
      <c r="A40" s="12" t="str">
        <f t="shared" si="1"/>
        <v>T18</v>
      </c>
      <c r="B40" s="5" t="s">
        <v>88</v>
      </c>
      <c r="C40" s="26" t="s">
        <v>24</v>
      </c>
      <c r="D40" s="22" t="s">
        <v>13</v>
      </c>
      <c r="E40" s="10"/>
      <c r="F40" s="27">
        <v>800.0</v>
      </c>
    </row>
    <row r="41" ht="15.75" customHeight="1">
      <c r="A41" s="12" t="str">
        <f t="shared" si="1"/>
        <v>T19</v>
      </c>
      <c r="B41" s="5" t="s">
        <v>88</v>
      </c>
      <c r="C41" s="26" t="s">
        <v>153</v>
      </c>
      <c r="D41" s="22" t="s">
        <v>31</v>
      </c>
      <c r="E41" s="27">
        <v>260.0</v>
      </c>
      <c r="F41" s="10"/>
    </row>
    <row r="42" ht="15.75" customHeight="1">
      <c r="A42" s="12" t="str">
        <f t="shared" si="1"/>
        <v>T19</v>
      </c>
      <c r="B42" s="5" t="s">
        <v>88</v>
      </c>
      <c r="C42" s="26" t="s">
        <v>153</v>
      </c>
      <c r="D42" s="22" t="s">
        <v>13</v>
      </c>
      <c r="E42" s="10"/>
      <c r="F42" s="27">
        <v>260.0</v>
      </c>
    </row>
    <row r="43" ht="15.75" customHeight="1">
      <c r="A43" s="12" t="str">
        <f t="shared" si="1"/>
        <v>T20</v>
      </c>
      <c r="B43" s="5" t="s">
        <v>93</v>
      </c>
      <c r="C43" s="26" t="s">
        <v>154</v>
      </c>
      <c r="D43" s="22" t="s">
        <v>29</v>
      </c>
      <c r="E43" s="18">
        <v>900.0</v>
      </c>
      <c r="F43" s="20"/>
    </row>
    <row r="44" ht="15.75" customHeight="1">
      <c r="A44" s="12" t="str">
        <f t="shared" si="1"/>
        <v>T20</v>
      </c>
      <c r="B44" s="5" t="s">
        <v>93</v>
      </c>
      <c r="C44" s="26" t="s">
        <v>154</v>
      </c>
      <c r="D44" s="22" t="s">
        <v>13</v>
      </c>
      <c r="E44" s="20"/>
      <c r="F44" s="18">
        <v>900.0</v>
      </c>
    </row>
    <row r="45" ht="15.75" customHeight="1">
      <c r="A45" s="12" t="str">
        <f t="shared" si="1"/>
        <v>T21</v>
      </c>
      <c r="B45" s="5" t="s">
        <v>96</v>
      </c>
      <c r="C45" s="12" t="s">
        <v>117</v>
      </c>
      <c r="D45" s="22" t="s">
        <v>27</v>
      </c>
      <c r="E45" s="27">
        <v>1400.0</v>
      </c>
      <c r="F45" s="10"/>
    </row>
    <row r="46" ht="15.75" customHeight="1">
      <c r="A46" s="12" t="str">
        <f t="shared" si="1"/>
        <v>T21</v>
      </c>
      <c r="B46" s="5" t="s">
        <v>96</v>
      </c>
      <c r="C46" s="12" t="s">
        <v>117</v>
      </c>
      <c r="D46" s="22" t="s">
        <v>13</v>
      </c>
      <c r="E46" s="10"/>
      <c r="F46" s="27">
        <v>1400.0</v>
      </c>
    </row>
    <row r="47" ht="15.75" customHeight="1">
      <c r="A47" s="12" t="str">
        <f t="shared" si="1"/>
        <v>T22</v>
      </c>
      <c r="B47" s="5" t="s">
        <v>99</v>
      </c>
      <c r="C47" s="26" t="s">
        <v>125</v>
      </c>
      <c r="D47" s="22" t="s">
        <v>13</v>
      </c>
      <c r="E47" s="27">
        <v>3400.0</v>
      </c>
      <c r="F47" s="10"/>
    </row>
    <row r="48" ht="15.75" customHeight="1">
      <c r="A48" s="12" t="str">
        <f t="shared" si="1"/>
        <v>T22</v>
      </c>
      <c r="B48" s="5" t="s">
        <v>99</v>
      </c>
      <c r="C48" s="26" t="s">
        <v>125</v>
      </c>
      <c r="D48" s="22" t="s">
        <v>25</v>
      </c>
      <c r="E48" s="10"/>
      <c r="F48" s="27">
        <v>3400.0</v>
      </c>
    </row>
    <row r="49" ht="15.75" customHeight="1">
      <c r="A49" s="12" t="str">
        <f t="shared" si="1"/>
        <v>T23</v>
      </c>
      <c r="B49" s="5" t="s">
        <v>101</v>
      </c>
      <c r="C49" s="26" t="s">
        <v>30</v>
      </c>
      <c r="D49" s="22" t="s">
        <v>30</v>
      </c>
      <c r="E49" s="27">
        <v>1300.0</v>
      </c>
      <c r="F49" s="10"/>
    </row>
    <row r="50" ht="15.75" customHeight="1">
      <c r="A50" s="12" t="str">
        <f t="shared" si="1"/>
        <v>T23</v>
      </c>
      <c r="B50" s="5" t="s">
        <v>101</v>
      </c>
      <c r="C50" s="26" t="s">
        <v>30</v>
      </c>
      <c r="D50" s="22" t="s">
        <v>13</v>
      </c>
      <c r="E50" s="10"/>
      <c r="F50" s="27">
        <v>1300.0</v>
      </c>
    </row>
    <row r="51" ht="15.75" customHeight="1">
      <c r="A51" s="12" t="str">
        <f t="shared" si="1"/>
        <v>T24</v>
      </c>
      <c r="B51" s="5" t="s">
        <v>103</v>
      </c>
      <c r="C51" s="26" t="s">
        <v>155</v>
      </c>
      <c r="D51" s="22" t="s">
        <v>32</v>
      </c>
      <c r="E51" s="27">
        <v>600.0</v>
      </c>
      <c r="F51" s="10"/>
    </row>
    <row r="52" ht="15.75" customHeight="1">
      <c r="A52" s="12" t="str">
        <f t="shared" si="1"/>
        <v>T24</v>
      </c>
      <c r="B52" s="5" t="s">
        <v>103</v>
      </c>
      <c r="C52" s="26" t="s">
        <v>155</v>
      </c>
      <c r="D52" s="22" t="s">
        <v>13</v>
      </c>
      <c r="E52" s="10"/>
      <c r="F52" s="27">
        <v>600.0</v>
      </c>
    </row>
    <row r="53" ht="15.75" customHeight="1">
      <c r="A53" s="12" t="str">
        <f t="shared" si="1"/>
        <v>T25</v>
      </c>
      <c r="B53" s="5" t="s">
        <v>106</v>
      </c>
      <c r="C53" s="26" t="s">
        <v>156</v>
      </c>
      <c r="D53" s="22" t="s">
        <v>21</v>
      </c>
      <c r="E53" s="27">
        <v>500.0</v>
      </c>
      <c r="F53" s="10"/>
    </row>
    <row r="54" ht="15.75" customHeight="1">
      <c r="A54" s="12" t="str">
        <f t="shared" si="1"/>
        <v>T25</v>
      </c>
      <c r="B54" s="5" t="s">
        <v>106</v>
      </c>
      <c r="C54" s="26" t="s">
        <v>156</v>
      </c>
      <c r="D54" s="22" t="s">
        <v>13</v>
      </c>
      <c r="E54" s="10"/>
      <c r="F54" s="27">
        <v>500.0</v>
      </c>
    </row>
    <row r="55" ht="15.75" customHeight="1">
      <c r="A55" s="12" t="str">
        <f t="shared" si="1"/>
        <v>T26</v>
      </c>
      <c r="B55" s="5" t="s">
        <v>106</v>
      </c>
      <c r="C55" s="26" t="s">
        <v>125</v>
      </c>
      <c r="D55" s="22" t="s">
        <v>13</v>
      </c>
      <c r="E55" s="27">
        <v>2900.0</v>
      </c>
      <c r="F55" s="10"/>
    </row>
    <row r="56" ht="15.75" customHeight="1">
      <c r="A56" s="12" t="str">
        <f t="shared" si="1"/>
        <v>T26</v>
      </c>
      <c r="B56" s="5" t="s">
        <v>106</v>
      </c>
      <c r="C56" s="26" t="s">
        <v>125</v>
      </c>
      <c r="D56" s="22" t="s">
        <v>25</v>
      </c>
      <c r="E56" s="10"/>
      <c r="F56" s="27">
        <v>2900.0</v>
      </c>
    </row>
    <row r="57" ht="15.75" customHeight="1">
      <c r="A57" s="12" t="str">
        <f t="shared" si="1"/>
        <v>T27</v>
      </c>
      <c r="B57" s="5" t="s">
        <v>106</v>
      </c>
      <c r="C57" s="26" t="s">
        <v>157</v>
      </c>
      <c r="D57" s="22" t="s">
        <v>31</v>
      </c>
      <c r="E57" s="27">
        <v>250.0</v>
      </c>
      <c r="F57" s="10"/>
    </row>
    <row r="58" ht="15.75" customHeight="1">
      <c r="A58" s="12" t="str">
        <f t="shared" si="1"/>
        <v>T27</v>
      </c>
      <c r="B58" s="5" t="s">
        <v>106</v>
      </c>
      <c r="C58" s="26" t="s">
        <v>157</v>
      </c>
      <c r="D58" s="22" t="s">
        <v>13</v>
      </c>
      <c r="E58" s="10"/>
      <c r="F58" s="27">
        <v>250.0</v>
      </c>
    </row>
    <row r="59" ht="15.75" customHeight="1">
      <c r="A59" s="3"/>
      <c r="B59" s="3"/>
      <c r="C59" s="3"/>
      <c r="D59" s="26" t="s">
        <v>35</v>
      </c>
      <c r="E59" s="27">
        <v>25.0</v>
      </c>
      <c r="F59" s="10"/>
    </row>
    <row r="60" ht="15.75" customHeight="1">
      <c r="A60" s="37"/>
      <c r="B60" s="37"/>
      <c r="C60" s="37"/>
      <c r="D60" s="38" t="s">
        <v>13</v>
      </c>
      <c r="E60" s="39"/>
      <c r="F60" s="40">
        <v>25.0</v>
      </c>
    </row>
    <row r="61" ht="15.75" customHeight="1">
      <c r="A61" s="41"/>
      <c r="B61" s="41"/>
      <c r="C61" s="41"/>
      <c r="D61" s="41"/>
      <c r="E61" s="42"/>
      <c r="F61" s="42"/>
    </row>
    <row r="62" ht="15.75" customHeight="1">
      <c r="A62" s="41"/>
      <c r="B62" s="41"/>
      <c r="C62" s="41"/>
      <c r="D62" s="41"/>
      <c r="E62" s="42"/>
      <c r="F62" s="42"/>
    </row>
    <row r="63" ht="15.75" customHeight="1">
      <c r="A63" s="41"/>
      <c r="B63" s="41"/>
      <c r="C63" s="41"/>
      <c r="D63" s="41"/>
      <c r="E63" s="42"/>
      <c r="F63" s="42"/>
    </row>
    <row r="64" ht="15.75" customHeight="1">
      <c r="A64" s="41"/>
      <c r="B64" s="41"/>
      <c r="C64" s="41"/>
      <c r="D64" s="41"/>
      <c r="E64" s="42"/>
      <c r="F64" s="42"/>
    </row>
    <row r="65" ht="15.75" customHeight="1">
      <c r="A65" s="41"/>
      <c r="B65" s="41"/>
      <c r="C65" s="41"/>
      <c r="D65" s="41"/>
      <c r="E65" s="42"/>
      <c r="F65" s="42"/>
    </row>
    <row r="66" ht="15.75" customHeight="1">
      <c r="A66" s="41"/>
      <c r="B66" s="41"/>
      <c r="C66" s="41"/>
      <c r="D66" s="41"/>
      <c r="E66" s="42"/>
      <c r="F66" s="42"/>
    </row>
    <row r="67" ht="15.75" customHeight="1">
      <c r="A67" s="41"/>
      <c r="B67" s="41"/>
      <c r="C67" s="41"/>
      <c r="D67" s="41"/>
      <c r="E67" s="42"/>
      <c r="F67" s="42"/>
    </row>
    <row r="68" ht="15.75" customHeight="1">
      <c r="A68" s="41"/>
      <c r="B68" s="41"/>
      <c r="C68" s="41"/>
      <c r="D68" s="41"/>
      <c r="E68" s="42"/>
      <c r="F68" s="42"/>
    </row>
    <row r="69" ht="15.75" customHeight="1">
      <c r="A69" s="41"/>
      <c r="B69" s="41"/>
      <c r="C69" s="41"/>
      <c r="D69" s="41"/>
      <c r="E69" s="42"/>
      <c r="F69" s="42"/>
    </row>
    <row r="70" ht="15.75" customHeight="1">
      <c r="A70" s="41"/>
      <c r="B70" s="41"/>
      <c r="C70" s="41"/>
      <c r="D70" s="41"/>
      <c r="E70" s="42"/>
      <c r="F70" s="42"/>
    </row>
    <row r="71" ht="15.75" customHeight="1">
      <c r="A71" s="41"/>
      <c r="B71" s="41"/>
      <c r="C71" s="41"/>
      <c r="D71" s="41"/>
      <c r="E71" s="42"/>
      <c r="F71" s="42"/>
    </row>
    <row r="72" ht="15.75" customHeight="1">
      <c r="A72" s="41"/>
      <c r="B72" s="41"/>
      <c r="C72" s="41"/>
      <c r="D72" s="41"/>
      <c r="E72" s="42"/>
      <c r="F72" s="42"/>
    </row>
    <row r="73" ht="15.75" customHeight="1">
      <c r="A73" s="41"/>
      <c r="B73" s="41"/>
      <c r="C73" s="41"/>
      <c r="D73" s="41"/>
      <c r="E73" s="42"/>
      <c r="F73" s="42"/>
    </row>
    <row r="74" ht="15.75" customHeight="1">
      <c r="A74" s="41"/>
      <c r="B74" s="41"/>
      <c r="C74" s="41"/>
      <c r="D74" s="41"/>
      <c r="E74" s="42"/>
      <c r="F74" s="42"/>
    </row>
    <row r="75" ht="15.75" customHeight="1">
      <c r="A75" s="41"/>
      <c r="B75" s="41"/>
      <c r="C75" s="41"/>
      <c r="D75" s="41"/>
      <c r="E75" s="42"/>
      <c r="F75" s="42"/>
    </row>
    <row r="76" ht="15.75" customHeight="1">
      <c r="A76" s="41"/>
      <c r="B76" s="41"/>
      <c r="C76" s="41"/>
      <c r="D76" s="41"/>
      <c r="E76" s="42"/>
      <c r="F76" s="42"/>
    </row>
    <row r="77" ht="15.75" customHeight="1">
      <c r="A77" s="41"/>
      <c r="B77" s="41"/>
      <c r="C77" s="41"/>
      <c r="D77" s="41"/>
      <c r="E77" s="42"/>
      <c r="F77" s="42"/>
    </row>
    <row r="78" ht="15.75" customHeight="1">
      <c r="A78" s="41"/>
      <c r="B78" s="41"/>
      <c r="C78" s="41"/>
      <c r="D78" s="41"/>
      <c r="E78" s="42"/>
      <c r="F78" s="42"/>
    </row>
    <row r="79" ht="15.75" customHeight="1">
      <c r="A79" s="41"/>
      <c r="B79" s="41"/>
      <c r="C79" s="41"/>
      <c r="D79" s="41"/>
      <c r="E79" s="42"/>
      <c r="F79" s="42"/>
    </row>
    <row r="80" ht="15.75" customHeight="1">
      <c r="A80" s="41"/>
      <c r="B80" s="41"/>
      <c r="C80" s="41"/>
      <c r="D80" s="41"/>
      <c r="E80" s="42"/>
      <c r="F80" s="42"/>
    </row>
    <row r="81" ht="15.75" customHeight="1">
      <c r="A81" s="41"/>
      <c r="B81" s="41"/>
      <c r="C81" s="41"/>
      <c r="D81" s="41"/>
      <c r="E81" s="42"/>
      <c r="F81" s="42"/>
    </row>
    <row r="82" ht="15.75" customHeight="1">
      <c r="A82" s="41"/>
      <c r="B82" s="41"/>
      <c r="C82" s="41"/>
      <c r="D82" s="41"/>
      <c r="E82" s="42"/>
      <c r="F82" s="42"/>
    </row>
    <row r="83" ht="15.75" customHeight="1">
      <c r="A83" s="41"/>
      <c r="B83" s="41"/>
      <c r="C83" s="41"/>
      <c r="D83" s="41"/>
      <c r="E83" s="42"/>
      <c r="F83" s="42"/>
    </row>
    <row r="84" ht="15.75" customHeight="1">
      <c r="A84" s="41"/>
      <c r="B84" s="41"/>
      <c r="C84" s="41"/>
      <c r="D84" s="41"/>
      <c r="E84" s="42"/>
      <c r="F84" s="42"/>
    </row>
    <row r="85" ht="15.75" customHeight="1">
      <c r="A85" s="41"/>
      <c r="B85" s="41"/>
      <c r="C85" s="41"/>
      <c r="D85" s="41"/>
      <c r="E85" s="42"/>
      <c r="F85" s="42"/>
    </row>
    <row r="86" ht="15.75" customHeight="1">
      <c r="A86" s="43"/>
      <c r="B86" s="43"/>
      <c r="C86" s="43"/>
      <c r="D86" s="43"/>
      <c r="E86" s="44"/>
      <c r="F86" s="44"/>
    </row>
    <row r="87" ht="15.75" customHeight="1">
      <c r="A87" s="3"/>
      <c r="B87" s="3"/>
      <c r="C87" s="3"/>
      <c r="D87" s="3"/>
      <c r="E87" s="10"/>
      <c r="F87" s="10"/>
    </row>
    <row r="88" ht="15.75" customHeight="1">
      <c r="A88" s="3"/>
      <c r="B88" s="3"/>
      <c r="C88" s="3"/>
      <c r="D88" s="3"/>
      <c r="E88" s="10"/>
      <c r="F88" s="10"/>
    </row>
    <row r="89" ht="15.75" customHeight="1">
      <c r="A89" s="3"/>
      <c r="B89" s="3"/>
      <c r="C89" s="3"/>
      <c r="D89" s="3"/>
      <c r="E89" s="10"/>
      <c r="F89" s="10"/>
    </row>
    <row r="90" ht="15.75" customHeight="1">
      <c r="A90" s="3"/>
      <c r="B90" s="3"/>
      <c r="C90" s="3"/>
      <c r="D90" s="3"/>
      <c r="E90" s="10"/>
      <c r="F90" s="10"/>
    </row>
    <row r="91" ht="15.75" customHeight="1">
      <c r="A91" s="3"/>
      <c r="B91" s="3"/>
      <c r="C91" s="3"/>
      <c r="D91" s="3"/>
      <c r="E91" s="10"/>
      <c r="F91" s="10"/>
    </row>
    <row r="92" ht="15.75" customHeight="1">
      <c r="A92" s="3"/>
      <c r="B92" s="3"/>
      <c r="C92" s="3"/>
      <c r="D92" s="3"/>
      <c r="E92" s="10"/>
      <c r="F92" s="10"/>
    </row>
    <row r="93" ht="15.75" customHeight="1">
      <c r="A93" s="3"/>
      <c r="B93" s="3"/>
      <c r="C93" s="3"/>
      <c r="D93" s="3"/>
      <c r="E93" s="10"/>
      <c r="F93" s="10"/>
    </row>
    <row r="94" ht="15.75" customHeight="1">
      <c r="A94" s="3"/>
      <c r="B94" s="3"/>
      <c r="C94" s="3"/>
      <c r="D94" s="3"/>
      <c r="E94" s="10"/>
      <c r="F94" s="10"/>
    </row>
    <row r="95" ht="15.75" customHeight="1">
      <c r="A95" s="3"/>
      <c r="B95" s="3"/>
      <c r="C95" s="3"/>
      <c r="D95" s="3"/>
      <c r="E95" s="10"/>
      <c r="F95" s="10"/>
    </row>
    <row r="96" ht="15.75" customHeight="1">
      <c r="A96" s="3"/>
      <c r="B96" s="3"/>
      <c r="C96" s="3"/>
      <c r="D96" s="3"/>
      <c r="E96" s="10"/>
      <c r="F96" s="10"/>
    </row>
    <row r="97" ht="15.75" customHeight="1">
      <c r="A97" s="3"/>
      <c r="B97" s="3"/>
      <c r="C97" s="3"/>
      <c r="D97" s="3"/>
      <c r="E97" s="10"/>
      <c r="F97" s="10"/>
    </row>
    <row r="98" ht="15.75" customHeight="1">
      <c r="A98" s="3"/>
      <c r="B98" s="3"/>
      <c r="C98" s="3"/>
      <c r="D98" s="3"/>
      <c r="E98" s="10"/>
      <c r="F98" s="10"/>
    </row>
    <row r="99" ht="15.75" customHeight="1">
      <c r="A99" s="3"/>
      <c r="B99" s="3"/>
      <c r="C99" s="3"/>
      <c r="D99" s="3"/>
      <c r="E99" s="10"/>
      <c r="F99" s="10"/>
    </row>
    <row r="100" ht="15.75" customHeight="1">
      <c r="A100" s="3"/>
      <c r="B100" s="3"/>
      <c r="C100" s="3"/>
      <c r="D100" s="3"/>
      <c r="E100" s="10"/>
      <c r="F100" s="10"/>
    </row>
    <row r="101" ht="15.75" customHeight="1">
      <c r="A101" s="3"/>
      <c r="B101" s="3"/>
      <c r="C101" s="3"/>
      <c r="D101" s="3"/>
      <c r="E101" s="10"/>
      <c r="F101" s="10"/>
    </row>
    <row r="102" ht="15.75" customHeight="1">
      <c r="A102" s="3"/>
      <c r="B102" s="3"/>
      <c r="C102" s="3"/>
      <c r="D102" s="3"/>
      <c r="E102" s="10"/>
      <c r="F102" s="10"/>
    </row>
    <row r="103" ht="15.75" customHeight="1">
      <c r="A103" s="3"/>
      <c r="B103" s="3"/>
      <c r="C103" s="3"/>
      <c r="D103" s="3"/>
      <c r="E103" s="10"/>
      <c r="F103" s="10"/>
    </row>
    <row r="104" ht="15.75" customHeight="1">
      <c r="A104" s="3"/>
      <c r="B104" s="3"/>
      <c r="C104" s="3"/>
      <c r="D104" s="3"/>
      <c r="E104" s="10"/>
      <c r="F104" s="10"/>
    </row>
    <row r="105" ht="15.75" customHeight="1">
      <c r="A105" s="3"/>
      <c r="B105" s="3"/>
      <c r="C105" s="3"/>
      <c r="D105" s="3"/>
      <c r="E105" s="10"/>
      <c r="F105" s="10"/>
    </row>
    <row r="106" ht="15.75" customHeight="1">
      <c r="A106" s="3"/>
      <c r="B106" s="3"/>
      <c r="C106" s="3"/>
      <c r="D106" s="3"/>
      <c r="E106" s="10"/>
      <c r="F106" s="10"/>
    </row>
    <row r="107" ht="15.75" customHeight="1">
      <c r="A107" s="3"/>
      <c r="B107" s="3"/>
      <c r="C107" s="3"/>
      <c r="D107" s="3"/>
      <c r="E107" s="10"/>
      <c r="F107" s="10"/>
    </row>
    <row r="108" ht="15.75" customHeight="1">
      <c r="A108" s="3"/>
      <c r="B108" s="3"/>
      <c r="C108" s="3"/>
      <c r="D108" s="3"/>
      <c r="E108" s="10"/>
      <c r="F108" s="10"/>
    </row>
    <row r="109" ht="15.75" customHeight="1">
      <c r="A109" s="3"/>
      <c r="B109" s="3"/>
      <c r="C109" s="3"/>
      <c r="D109" s="3"/>
      <c r="E109" s="10"/>
      <c r="F109" s="10"/>
    </row>
    <row r="110" ht="15.75" customHeight="1">
      <c r="A110" s="3"/>
      <c r="B110" s="3"/>
      <c r="C110" s="3"/>
      <c r="D110" s="3"/>
      <c r="E110" s="10"/>
      <c r="F110" s="10"/>
    </row>
    <row r="111" ht="15.75" customHeight="1">
      <c r="A111" s="3"/>
      <c r="B111" s="3"/>
      <c r="C111" s="3"/>
      <c r="D111" s="3"/>
      <c r="E111" s="10"/>
      <c r="F111" s="10"/>
    </row>
    <row r="112" ht="15.75" customHeight="1">
      <c r="A112" s="3"/>
      <c r="B112" s="3"/>
      <c r="C112" s="3"/>
      <c r="D112" s="3"/>
      <c r="E112" s="10"/>
      <c r="F112" s="10"/>
    </row>
    <row r="113" ht="15.75" customHeight="1">
      <c r="A113" s="3"/>
      <c r="B113" s="3"/>
      <c r="C113" s="3"/>
      <c r="D113" s="3"/>
      <c r="E113" s="10"/>
      <c r="F113" s="10"/>
    </row>
    <row r="114" ht="15.75" customHeight="1">
      <c r="A114" s="3"/>
      <c r="B114" s="3"/>
      <c r="C114" s="3"/>
      <c r="D114" s="3"/>
      <c r="E114" s="10"/>
      <c r="F114" s="10"/>
    </row>
    <row r="115" ht="15.75" customHeight="1">
      <c r="A115" s="3"/>
      <c r="B115" s="3"/>
      <c r="C115" s="3"/>
      <c r="D115" s="3"/>
      <c r="E115" s="10"/>
      <c r="F115" s="10"/>
    </row>
    <row r="116" ht="15.75" customHeight="1">
      <c r="A116" s="3"/>
      <c r="B116" s="3"/>
      <c r="C116" s="3"/>
      <c r="D116" s="3"/>
      <c r="E116" s="10"/>
      <c r="F116" s="10"/>
    </row>
    <row r="117" ht="15.75" customHeight="1">
      <c r="A117" s="3"/>
      <c r="B117" s="3"/>
      <c r="C117" s="3"/>
      <c r="D117" s="3"/>
      <c r="E117" s="10"/>
      <c r="F117" s="10"/>
    </row>
    <row r="118" ht="15.75" customHeight="1">
      <c r="A118" s="3"/>
      <c r="B118" s="3"/>
      <c r="C118" s="3"/>
      <c r="D118" s="3"/>
      <c r="E118" s="10"/>
      <c r="F118" s="10"/>
    </row>
    <row r="119" ht="15.75" customHeight="1">
      <c r="A119" s="3"/>
      <c r="B119" s="3"/>
      <c r="C119" s="3"/>
      <c r="D119" s="3"/>
      <c r="E119" s="10"/>
      <c r="F119" s="10"/>
    </row>
    <row r="120" ht="15.75" customHeight="1">
      <c r="A120" s="3"/>
      <c r="B120" s="3"/>
      <c r="C120" s="3"/>
      <c r="D120" s="3"/>
      <c r="E120" s="10"/>
      <c r="F120" s="10"/>
    </row>
    <row r="121" ht="15.75" customHeight="1">
      <c r="A121" s="3"/>
      <c r="B121" s="3"/>
      <c r="C121" s="3"/>
      <c r="D121" s="3"/>
      <c r="E121" s="10"/>
      <c r="F121" s="10"/>
    </row>
    <row r="122" ht="15.75" customHeight="1">
      <c r="A122" s="3"/>
      <c r="B122" s="3"/>
      <c r="C122" s="3"/>
      <c r="D122" s="3"/>
      <c r="E122" s="10"/>
      <c r="F122" s="10"/>
    </row>
    <row r="123" ht="15.75" customHeight="1">
      <c r="A123" s="3"/>
      <c r="B123" s="3"/>
      <c r="C123" s="3"/>
      <c r="D123" s="3"/>
      <c r="E123" s="10"/>
      <c r="F123" s="10"/>
    </row>
    <row r="124" ht="15.75" customHeight="1">
      <c r="A124" s="3"/>
      <c r="B124" s="3"/>
      <c r="C124" s="3"/>
      <c r="D124" s="3"/>
      <c r="E124" s="10"/>
      <c r="F124" s="10"/>
    </row>
    <row r="125" ht="15.75" customHeight="1">
      <c r="A125" s="3"/>
      <c r="B125" s="3"/>
      <c r="C125" s="3"/>
      <c r="D125" s="3"/>
      <c r="E125" s="10"/>
      <c r="F125" s="10"/>
    </row>
    <row r="126" ht="15.75" customHeight="1">
      <c r="A126" s="3"/>
      <c r="B126" s="3"/>
      <c r="C126" s="3"/>
      <c r="D126" s="3"/>
      <c r="E126" s="10"/>
      <c r="F126" s="10"/>
    </row>
    <row r="127" ht="15.75" customHeight="1">
      <c r="A127" s="3"/>
      <c r="B127" s="3"/>
      <c r="C127" s="3"/>
      <c r="D127" s="3"/>
      <c r="E127" s="10"/>
      <c r="F127" s="10"/>
    </row>
    <row r="128" ht="15.75" customHeight="1">
      <c r="A128" s="3"/>
      <c r="B128" s="3"/>
      <c r="C128" s="3"/>
      <c r="D128" s="3"/>
      <c r="E128" s="10"/>
      <c r="F128" s="10"/>
    </row>
    <row r="129" ht="15.75" customHeight="1">
      <c r="A129" s="3"/>
      <c r="B129" s="3"/>
      <c r="C129" s="3"/>
      <c r="D129" s="3"/>
      <c r="E129" s="10"/>
      <c r="F129" s="10"/>
    </row>
    <row r="130" ht="15.75" customHeight="1">
      <c r="A130" s="3"/>
      <c r="B130" s="3"/>
      <c r="C130" s="3"/>
      <c r="D130" s="3"/>
      <c r="E130" s="10"/>
      <c r="F130" s="10"/>
    </row>
    <row r="131" ht="15.75" customHeight="1">
      <c r="A131" s="3"/>
      <c r="B131" s="3"/>
      <c r="C131" s="3"/>
      <c r="D131" s="3"/>
      <c r="E131" s="10"/>
      <c r="F131" s="10"/>
    </row>
    <row r="132" ht="15.75" customHeight="1">
      <c r="A132" s="3"/>
      <c r="B132" s="3"/>
      <c r="C132" s="3"/>
      <c r="D132" s="3"/>
      <c r="E132" s="10"/>
      <c r="F132" s="10"/>
    </row>
    <row r="133" ht="15.75" customHeight="1">
      <c r="A133" s="3"/>
      <c r="B133" s="3"/>
      <c r="C133" s="3"/>
      <c r="D133" s="3"/>
      <c r="E133" s="10"/>
      <c r="F133" s="10"/>
    </row>
    <row r="134" ht="15.75" customHeight="1">
      <c r="A134" s="3"/>
      <c r="B134" s="3"/>
      <c r="C134" s="3"/>
      <c r="D134" s="3"/>
      <c r="E134" s="10"/>
      <c r="F134" s="10"/>
    </row>
    <row r="135" ht="15.75" customHeight="1">
      <c r="A135" s="3"/>
      <c r="B135" s="3"/>
      <c r="C135" s="3"/>
      <c r="D135" s="3"/>
      <c r="E135" s="10"/>
      <c r="F135" s="10"/>
    </row>
    <row r="136" ht="15.75" customHeight="1">
      <c r="A136" s="3"/>
      <c r="B136" s="3"/>
      <c r="C136" s="3"/>
      <c r="D136" s="3"/>
      <c r="E136" s="10"/>
      <c r="F136" s="10"/>
    </row>
    <row r="137" ht="15.75" customHeight="1">
      <c r="A137" s="3"/>
      <c r="B137" s="3"/>
      <c r="C137" s="3"/>
      <c r="D137" s="3"/>
      <c r="E137" s="10"/>
      <c r="F137" s="10"/>
    </row>
    <row r="138" ht="15.75" customHeight="1">
      <c r="A138" s="3"/>
      <c r="B138" s="3"/>
      <c r="C138" s="3"/>
      <c r="D138" s="3"/>
      <c r="E138" s="10"/>
      <c r="F138" s="10"/>
    </row>
    <row r="139" ht="15.75" customHeight="1">
      <c r="A139" s="3"/>
      <c r="B139" s="3"/>
      <c r="C139" s="3"/>
      <c r="D139" s="3"/>
      <c r="E139" s="10"/>
      <c r="F139" s="10"/>
    </row>
    <row r="140" ht="15.75" customHeight="1">
      <c r="A140" s="3"/>
      <c r="B140" s="3"/>
      <c r="C140" s="3"/>
      <c r="D140" s="3"/>
      <c r="E140" s="10"/>
      <c r="F140" s="10"/>
    </row>
    <row r="141" ht="15.75" customHeight="1">
      <c r="A141" s="3"/>
      <c r="B141" s="3"/>
      <c r="C141" s="3"/>
      <c r="D141" s="3"/>
      <c r="E141" s="10"/>
      <c r="F141" s="10"/>
    </row>
    <row r="142" ht="15.75" customHeight="1">
      <c r="A142" s="3"/>
      <c r="B142" s="3"/>
      <c r="C142" s="3"/>
      <c r="D142" s="3"/>
      <c r="E142" s="10"/>
      <c r="F142" s="10"/>
    </row>
    <row r="143" ht="15.75" customHeight="1">
      <c r="A143" s="3"/>
      <c r="B143" s="3"/>
      <c r="C143" s="3"/>
      <c r="D143" s="3"/>
      <c r="E143" s="10"/>
      <c r="F143" s="10"/>
    </row>
    <row r="144" ht="15.75" customHeight="1">
      <c r="A144" s="3"/>
      <c r="B144" s="3"/>
      <c r="C144" s="3"/>
      <c r="D144" s="3"/>
      <c r="E144" s="10"/>
      <c r="F144" s="10"/>
    </row>
    <row r="145" ht="15.75" customHeight="1">
      <c r="A145" s="3"/>
      <c r="B145" s="3"/>
      <c r="C145" s="3"/>
      <c r="D145" s="3"/>
      <c r="E145" s="10"/>
      <c r="F145" s="10"/>
    </row>
    <row r="146" ht="15.75" customHeight="1">
      <c r="A146" s="3"/>
      <c r="B146" s="3"/>
      <c r="C146" s="3"/>
      <c r="D146" s="3"/>
      <c r="E146" s="10"/>
      <c r="F146" s="10"/>
    </row>
    <row r="147" ht="15.75" customHeight="1">
      <c r="A147" s="3"/>
      <c r="B147" s="3"/>
      <c r="C147" s="3"/>
      <c r="D147" s="3"/>
      <c r="E147" s="10"/>
      <c r="F147" s="10"/>
    </row>
    <row r="148" ht="15.75" customHeight="1">
      <c r="A148" s="3"/>
      <c r="B148" s="3"/>
      <c r="C148" s="3"/>
      <c r="D148" s="3"/>
      <c r="E148" s="10"/>
      <c r="F148" s="10"/>
    </row>
    <row r="149" ht="15.75" customHeight="1">
      <c r="A149" s="3"/>
      <c r="B149" s="3"/>
      <c r="C149" s="3"/>
      <c r="D149" s="3"/>
      <c r="E149" s="10"/>
      <c r="F149" s="10"/>
    </row>
    <row r="150" ht="15.75" customHeight="1">
      <c r="A150" s="3"/>
      <c r="B150" s="3"/>
      <c r="C150" s="3"/>
      <c r="D150" s="3"/>
      <c r="E150" s="10"/>
      <c r="F150" s="10"/>
    </row>
    <row r="151" ht="15.75" customHeight="1">
      <c r="A151" s="3"/>
      <c r="B151" s="3"/>
      <c r="C151" s="3"/>
      <c r="D151" s="3"/>
      <c r="E151" s="10"/>
      <c r="F151" s="10"/>
    </row>
    <row r="152" ht="15.75" customHeight="1">
      <c r="A152" s="3"/>
      <c r="B152" s="3"/>
      <c r="C152" s="3"/>
      <c r="D152" s="3"/>
      <c r="E152" s="10"/>
      <c r="F152" s="10"/>
    </row>
    <row r="153" ht="15.75" customHeight="1">
      <c r="A153" s="3"/>
      <c r="B153" s="3"/>
      <c r="C153" s="3"/>
      <c r="D153" s="3"/>
      <c r="E153" s="10"/>
      <c r="F153" s="10"/>
    </row>
    <row r="154" ht="15.75" customHeight="1">
      <c r="A154" s="3"/>
      <c r="B154" s="3"/>
      <c r="C154" s="3"/>
      <c r="D154" s="3"/>
      <c r="E154" s="10"/>
      <c r="F154" s="10"/>
    </row>
    <row r="155" ht="15.75" customHeight="1">
      <c r="A155" s="3"/>
      <c r="B155" s="3"/>
      <c r="C155" s="3"/>
      <c r="D155" s="3"/>
      <c r="E155" s="10"/>
      <c r="F155" s="10"/>
    </row>
    <row r="156" ht="15.75" customHeight="1">
      <c r="A156" s="3"/>
      <c r="B156" s="3"/>
      <c r="C156" s="3"/>
      <c r="D156" s="3"/>
      <c r="E156" s="10"/>
      <c r="F156" s="10"/>
    </row>
    <row r="157" ht="15.75" customHeight="1">
      <c r="A157" s="3"/>
      <c r="B157" s="3"/>
      <c r="C157" s="3"/>
      <c r="D157" s="3"/>
      <c r="E157" s="10"/>
      <c r="F157" s="10"/>
    </row>
    <row r="158" ht="15.75" customHeight="1">
      <c r="A158" s="3"/>
      <c r="B158" s="3"/>
      <c r="C158" s="3"/>
      <c r="D158" s="3"/>
      <c r="E158" s="10"/>
      <c r="F158" s="10"/>
    </row>
    <row r="159" ht="15.75" customHeight="1">
      <c r="A159" s="3"/>
      <c r="B159" s="3"/>
      <c r="C159" s="3"/>
      <c r="D159" s="3"/>
      <c r="E159" s="10"/>
      <c r="F159" s="10"/>
    </row>
    <row r="160" ht="15.75" customHeight="1">
      <c r="A160" s="3"/>
      <c r="B160" s="3"/>
      <c r="C160" s="3"/>
      <c r="D160" s="3"/>
      <c r="E160" s="10"/>
      <c r="F160" s="10"/>
    </row>
    <row r="161" ht="15.75" customHeight="1"/>
    <row r="162" ht="15.75" customHeight="1">
      <c r="D162" s="29" t="s">
        <v>158</v>
      </c>
      <c r="E162" s="35">
        <f t="shared" ref="E162:F162" si="2">SUM(E5:E160)</f>
        <v>53175</v>
      </c>
      <c r="F162" s="35">
        <f t="shared" si="2"/>
        <v>53175</v>
      </c>
    </row>
    <row r="163" ht="15.75" customHeight="1">
      <c r="D163" s="29" t="s">
        <v>160</v>
      </c>
      <c r="E163" s="32" t="str">
        <f>IF(E162=F162,"YES","NO")</f>
        <v>YES</v>
      </c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5:D160">
      <formula1>"Bank,Cash,Inventory,Equipment,Trade Creditors,Bank Loan,Owner's Capital,Drawings,Sales,Purchases,Rent,Wages,Utilities,Insurance,Marketing,Sundry Expenses"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3" width="14.0"/>
    <col customWidth="1" min="4" max="26" width="8.71"/>
  </cols>
  <sheetData>
    <row r="1">
      <c r="A1" s="1" t="s">
        <v>2</v>
      </c>
    </row>
    <row r="3">
      <c r="A3" s="2" t="s">
        <v>4</v>
      </c>
      <c r="B3" s="2" t="s">
        <v>9</v>
      </c>
      <c r="C3" s="2" t="s">
        <v>12</v>
      </c>
    </row>
    <row r="4">
      <c r="A4" s="3" t="s">
        <v>13</v>
      </c>
      <c r="B4" s="8">
        <f>MAX(0,SUMIF(Journal!$D:$D,A4,Journal!$E:$E)-SUMIF(Journal!$D:$D,A4,Journal!$F:$F))</f>
        <v>12725</v>
      </c>
      <c r="C4" s="8">
        <f>MAX(0,SUMIF(Journal!$D:$D,A4,Journal!$F:$F)-SUMIF(Journal!$D:$D,A4,Journal!$E:$E))</f>
        <v>0</v>
      </c>
    </row>
    <row r="5">
      <c r="A5" s="3" t="s">
        <v>16</v>
      </c>
      <c r="B5" s="8">
        <f>MAX(0,SUMIF(Journal!$D:$D,A5,Journal!$E:$E)-SUMIF(Journal!$D:$D,A5,Journal!$F:$F))</f>
        <v>0</v>
      </c>
      <c r="C5" s="8">
        <f>MAX(0,SUMIF(Journal!$D:$D,A5,Journal!$F:$F)-SUMIF(Journal!$D:$D,A5,Journal!$E:$E))</f>
        <v>0</v>
      </c>
    </row>
    <row r="6">
      <c r="A6" s="3" t="s">
        <v>17</v>
      </c>
      <c r="B6" s="8">
        <f>MAX(0,SUMIF(Journal!$D:$D,A6,Journal!$E:$E)-SUMIF(Journal!$D:$D,A6,Journal!$F:$F))</f>
        <v>0</v>
      </c>
      <c r="C6" s="8">
        <f>MAX(0,SUMIF(Journal!$D:$D,A6,Journal!$F:$F)-SUMIF(Journal!$D:$D,A6,Journal!$E:$E))</f>
        <v>0</v>
      </c>
    </row>
    <row r="7">
      <c r="A7" s="3" t="s">
        <v>18</v>
      </c>
      <c r="B7" s="8">
        <f>MAX(0,SUMIF(Journal!$D:$D,A7,Journal!$E:$E)-SUMIF(Journal!$D:$D,A7,Journal!$F:$F))</f>
        <v>5800</v>
      </c>
      <c r="C7" s="8">
        <f>MAX(0,SUMIF(Journal!$D:$D,A7,Journal!$F:$F)-SUMIF(Journal!$D:$D,A7,Journal!$E:$E))</f>
        <v>0</v>
      </c>
    </row>
    <row r="8">
      <c r="A8" s="3" t="s">
        <v>19</v>
      </c>
      <c r="B8" s="8">
        <f>MAX(0,SUMIF(Journal!$D:$D,A8,Journal!$E:$E)-SUMIF(Journal!$D:$D,A8,Journal!$F:$F))</f>
        <v>0</v>
      </c>
      <c r="C8" s="8">
        <f>MAX(0,SUMIF(Journal!$D:$D,A8,Journal!$F:$F)-SUMIF(Journal!$D:$D,A8,Journal!$E:$E))</f>
        <v>0</v>
      </c>
    </row>
    <row r="9">
      <c r="A9" s="3" t="s">
        <v>21</v>
      </c>
      <c r="B9" s="8">
        <f>MAX(0,SUMIF(Journal!$D:$D,A9,Journal!$E:$E)-SUMIF(Journal!$D:$D,A9,Journal!$F:$F))</f>
        <v>0</v>
      </c>
      <c r="C9" s="8">
        <f>MAX(0,SUMIF(Journal!$D:$D,A9,Journal!$F:$F)-SUMIF(Journal!$D:$D,A9,Journal!$E:$E))</f>
        <v>5500</v>
      </c>
    </row>
    <row r="10">
      <c r="A10" s="3" t="s">
        <v>22</v>
      </c>
      <c r="B10" s="8">
        <f>MAX(0,SUMIF(Journal!$D:$D,A10,Journal!$E:$E)-SUMIF(Journal!$D:$D,A10,Journal!$F:$F))</f>
        <v>0</v>
      </c>
      <c r="C10" s="8">
        <f>MAX(0,SUMIF(Journal!$D:$D,A10,Journal!$F:$F)-SUMIF(Journal!$D:$D,A10,Journal!$E:$E))</f>
        <v>12000</v>
      </c>
    </row>
    <row r="11">
      <c r="A11" s="3" t="s">
        <v>24</v>
      </c>
      <c r="B11" s="8">
        <f>MAX(0,SUMIF(Journal!$D:$D,A11,Journal!$E:$E)-SUMIF(Journal!$D:$D,A11,Journal!$F:$F))</f>
        <v>800</v>
      </c>
      <c r="C11" s="8">
        <f>MAX(0,SUMIF(Journal!$D:$D,A11,Journal!$F:$F)-SUMIF(Journal!$D:$D,A11,Journal!$E:$E))</f>
        <v>0</v>
      </c>
    </row>
    <row r="12">
      <c r="A12" s="3" t="s">
        <v>25</v>
      </c>
      <c r="B12" s="8">
        <f>MAX(0,SUMIF(Journal!$D:$D,A12,Journal!$E:$E)-SUMIF(Journal!$D:$D,A12,Journal!$F:$F))</f>
        <v>0</v>
      </c>
      <c r="C12" s="8">
        <f>MAX(0,SUMIF(Journal!$D:$D,A12,Journal!$F:$F)-SUMIF(Journal!$D:$D,A12,Journal!$E:$E))</f>
        <v>14500</v>
      </c>
    </row>
    <row r="13">
      <c r="A13" s="3" t="s">
        <v>27</v>
      </c>
      <c r="B13" s="8">
        <f>MAX(0,SUMIF(Journal!$D:$D,A13,Journal!$E:$E)-SUMIF(Journal!$D:$D,A13,Journal!$F:$F))</f>
        <v>4700</v>
      </c>
      <c r="C13" s="8">
        <f>MAX(0,SUMIF(Journal!$D:$D,A13,Journal!$F:$F)-SUMIF(Journal!$D:$D,A13,Journal!$E:$E))</f>
        <v>0</v>
      </c>
    </row>
    <row r="14">
      <c r="A14" s="3" t="s">
        <v>29</v>
      </c>
      <c r="B14" s="8">
        <f>MAX(0,SUMIF(Journal!$D:$D,A14,Journal!$E:$E)-SUMIF(Journal!$D:$D,A14,Journal!$F:$F))</f>
        <v>2700</v>
      </c>
      <c r="C14" s="8">
        <f>MAX(0,SUMIF(Journal!$D:$D,A14,Journal!$F:$F)-SUMIF(Journal!$D:$D,A14,Journal!$E:$E))</f>
        <v>0</v>
      </c>
    </row>
    <row r="15">
      <c r="A15" s="3" t="s">
        <v>30</v>
      </c>
      <c r="B15" s="8">
        <f>MAX(0,SUMIF(Journal!$D:$D,A15,Journal!$E:$E)-SUMIF(Journal!$D:$D,A15,Journal!$F:$F))</f>
        <v>3750</v>
      </c>
      <c r="C15" s="8">
        <f>MAX(0,SUMIF(Journal!$D:$D,A15,Journal!$F:$F)-SUMIF(Journal!$D:$D,A15,Journal!$E:$E))</f>
        <v>0</v>
      </c>
    </row>
    <row r="16">
      <c r="A16" s="3" t="s">
        <v>31</v>
      </c>
      <c r="B16" s="8">
        <f>MAX(0,SUMIF(Journal!$D:$D,A16,Journal!$E:$E)-SUMIF(Journal!$D:$D,A16,Journal!$F:$F))</f>
        <v>750</v>
      </c>
      <c r="C16" s="8">
        <f>MAX(0,SUMIF(Journal!$D:$D,A16,Journal!$F:$F)-SUMIF(Journal!$D:$D,A16,Journal!$E:$E))</f>
        <v>0</v>
      </c>
    </row>
    <row r="17">
      <c r="A17" s="3" t="s">
        <v>32</v>
      </c>
      <c r="B17" s="8">
        <f>MAX(0,SUMIF(Journal!$D:$D,A17,Journal!$E:$E)-SUMIF(Journal!$D:$D,A17,Journal!$F:$F))</f>
        <v>600</v>
      </c>
      <c r="C17" s="8">
        <f>MAX(0,SUMIF(Journal!$D:$D,A17,Journal!$F:$F)-SUMIF(Journal!$D:$D,A17,Journal!$E:$E))</f>
        <v>0</v>
      </c>
    </row>
    <row r="18">
      <c r="A18" s="3" t="s">
        <v>34</v>
      </c>
      <c r="B18" s="8">
        <f>MAX(0,SUMIF(Journal!$D:$D,A18,Journal!$E:$E)-SUMIF(Journal!$D:$D,A18,Journal!$F:$F))</f>
        <v>150</v>
      </c>
      <c r="C18" s="8">
        <f>MAX(0,SUMIF(Journal!$D:$D,A18,Journal!$F:$F)-SUMIF(Journal!$D:$D,A18,Journal!$E:$E))</f>
        <v>0</v>
      </c>
    </row>
    <row r="19">
      <c r="A19" s="3" t="s">
        <v>35</v>
      </c>
      <c r="B19" s="8">
        <f>MAX(0,SUMIF(Journal!$D:$D,A19,Journal!$E:$E)-SUMIF(Journal!$D:$D,A19,Journal!$F:$F))</f>
        <v>25</v>
      </c>
      <c r="C19" s="8">
        <f>MAX(0,SUMIF(Journal!$D:$D,A19,Journal!$F:$F)-SUMIF(Journal!$D:$D,A19,Journal!$E:$E))</f>
        <v>0</v>
      </c>
    </row>
    <row r="20">
      <c r="A20" s="29" t="s">
        <v>158</v>
      </c>
      <c r="B20" s="35">
        <f t="shared" ref="B20:C20" si="1">SUM(B4:B19)</f>
        <v>32000</v>
      </c>
      <c r="C20" s="35">
        <f t="shared" si="1"/>
        <v>32000</v>
      </c>
    </row>
    <row r="21" ht="15.75" customHeight="1"/>
    <row r="22" ht="15.75" customHeight="1">
      <c r="A22" s="29" t="s">
        <v>159</v>
      </c>
      <c r="B22" s="32" t="str">
        <f>IF(B20=C20,"YES - balanced","NO - check journal")</f>
        <v>YES - balanced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3.0"/>
    <col customWidth="1" min="4" max="4" width="26.0"/>
    <col customWidth="1" min="5" max="5" width="14.0"/>
    <col customWidth="1" min="6" max="26" width="8.71"/>
  </cols>
  <sheetData>
    <row r="1">
      <c r="A1" s="1" t="s">
        <v>113</v>
      </c>
    </row>
    <row r="3">
      <c r="A3" s="15" t="s">
        <v>115</v>
      </c>
      <c r="B3" s="17"/>
      <c r="D3" s="15" t="s">
        <v>116</v>
      </c>
      <c r="E3" s="17"/>
    </row>
    <row r="4">
      <c r="A4" s="19" t="s">
        <v>25</v>
      </c>
      <c r="B4" s="21">
        <f>-('Trial Balance'!B12-'Trial Balance'!C12)</f>
        <v>14500</v>
      </c>
      <c r="D4" s="23" t="s">
        <v>118</v>
      </c>
    </row>
    <row r="5">
      <c r="A5" s="19" t="s">
        <v>119</v>
      </c>
      <c r="B5" s="21">
        <f>('Trial Balance'!B13-'Trial Balance'!C13)</f>
        <v>4700</v>
      </c>
      <c r="D5" s="24" t="s">
        <v>18</v>
      </c>
      <c r="E5" s="21">
        <f>('Trial Balance'!B7-'Trial Balance'!C7)</f>
        <v>5800</v>
      </c>
    </row>
    <row r="6">
      <c r="A6" s="19" t="s">
        <v>120</v>
      </c>
      <c r="B6" s="21">
        <f>('Trial Balance'!B14-'Trial Balance'!C14)</f>
        <v>2700</v>
      </c>
      <c r="D6" s="24" t="s">
        <v>17</v>
      </c>
      <c r="E6" s="21">
        <f>('Trial Balance'!B6-'Trial Balance'!C6)</f>
        <v>0</v>
      </c>
    </row>
    <row r="7">
      <c r="A7" s="19" t="s">
        <v>121</v>
      </c>
      <c r="B7" s="21">
        <f>('Trial Balance'!B15-'Trial Balance'!C15)</f>
        <v>3750</v>
      </c>
      <c r="D7" s="24" t="s">
        <v>13</v>
      </c>
      <c r="E7" s="21">
        <f>('Trial Balance'!B4-'Trial Balance'!C4)</f>
        <v>12725</v>
      </c>
    </row>
    <row r="8">
      <c r="A8" s="19" t="s">
        <v>123</v>
      </c>
      <c r="B8" s="21">
        <f>('Trial Balance'!B16-'Trial Balance'!C16)</f>
        <v>750</v>
      </c>
      <c r="D8" s="24" t="s">
        <v>16</v>
      </c>
      <c r="E8" s="21">
        <f>('Trial Balance'!B5-'Trial Balance'!C5)</f>
        <v>0</v>
      </c>
    </row>
    <row r="9">
      <c r="A9" s="19" t="s">
        <v>124</v>
      </c>
      <c r="B9" s="21">
        <f>('Trial Balance'!B17-'Trial Balance'!C17)</f>
        <v>600</v>
      </c>
      <c r="D9" s="23" t="s">
        <v>126</v>
      </c>
      <c r="E9" s="28">
        <f>SUM(E5:E8)</f>
        <v>18525</v>
      </c>
    </row>
    <row r="10">
      <c r="A10" s="19" t="s">
        <v>127</v>
      </c>
      <c r="B10" s="21">
        <f>('Trial Balance'!B18-'Trial Balance'!C18)</f>
        <v>150</v>
      </c>
      <c r="D10" s="23" t="s">
        <v>128</v>
      </c>
    </row>
    <row r="11">
      <c r="A11" s="19" t="s">
        <v>129</v>
      </c>
      <c r="B11" s="21">
        <f>('Trial Balance'!B19-'Trial Balance'!C19)</f>
        <v>25</v>
      </c>
      <c r="D11" s="24" t="s">
        <v>19</v>
      </c>
      <c r="E11" s="21">
        <f>-('Trial Balance'!B8-'Trial Balance'!C8)</f>
        <v>0</v>
      </c>
    </row>
    <row r="12">
      <c r="A12" s="29" t="s">
        <v>131</v>
      </c>
      <c r="B12" s="30">
        <f>B4-SUM(B5:B11)</f>
        <v>1825</v>
      </c>
      <c r="D12" s="24" t="s">
        <v>21</v>
      </c>
      <c r="E12" s="21">
        <f>-('Trial Balance'!B9-'Trial Balance'!C9)</f>
        <v>5500</v>
      </c>
    </row>
    <row r="13">
      <c r="D13" s="23" t="s">
        <v>132</v>
      </c>
      <c r="E13" s="28">
        <f>SUM(E11:E12)</f>
        <v>5500</v>
      </c>
    </row>
    <row r="14">
      <c r="D14" s="23" t="s">
        <v>133</v>
      </c>
      <c r="E14" s="30">
        <f>E9-E13</f>
        <v>13025</v>
      </c>
    </row>
    <row r="15">
      <c r="D15" s="23" t="s">
        <v>134</v>
      </c>
    </row>
    <row r="16">
      <c r="D16" s="24" t="s">
        <v>22</v>
      </c>
      <c r="E16" s="21">
        <f>-('Trial Balance'!B10-'Trial Balance'!C10)</f>
        <v>12000</v>
      </c>
    </row>
    <row r="17">
      <c r="D17" s="24" t="s">
        <v>135</v>
      </c>
      <c r="E17" s="21">
        <f>B12</f>
        <v>1825</v>
      </c>
    </row>
    <row r="18">
      <c r="D18" s="24" t="s">
        <v>136</v>
      </c>
      <c r="E18" s="21">
        <f>-('Trial Balance'!B11-'Trial Balance'!C11)</f>
        <v>-800</v>
      </c>
    </row>
    <row r="19">
      <c r="D19" s="23" t="s">
        <v>139</v>
      </c>
      <c r="E19" s="30">
        <f>SUM(E16:E18)</f>
        <v>13025</v>
      </c>
    </row>
    <row r="21" ht="15.75" customHeight="1">
      <c r="D21" s="29" t="s">
        <v>142</v>
      </c>
      <c r="E21" s="32" t="str">
        <f>IF(E14=E19,"YES","NO")</f>
        <v>YES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5.57"/>
    <col customWidth="1" min="2" max="2" width="16.0"/>
    <col customWidth="1" min="3" max="26" width="8.71"/>
  </cols>
  <sheetData>
    <row r="1">
      <c r="A1" s="1" t="s">
        <v>137</v>
      </c>
    </row>
    <row r="2">
      <c r="A2" s="7" t="s">
        <v>140</v>
      </c>
    </row>
    <row r="4">
      <c r="A4" s="29" t="s">
        <v>141</v>
      </c>
      <c r="B4" s="31">
        <v>9825.0</v>
      </c>
    </row>
    <row r="6">
      <c r="A6" s="19" t="s">
        <v>143</v>
      </c>
      <c r="B6" s="33">
        <v>2900.0</v>
      </c>
    </row>
    <row r="8">
      <c r="A8" s="29" t="s">
        <v>144</v>
      </c>
      <c r="B8" s="35">
        <f>B4+B6</f>
        <v>12725</v>
      </c>
    </row>
    <row r="10">
      <c r="A10" s="29" t="s">
        <v>147</v>
      </c>
      <c r="B10" s="36">
        <f>'Trial Balance'!B4-'Trial Balance'!C4</f>
        <v>12725</v>
      </c>
    </row>
    <row r="12">
      <c r="A12" s="29" t="s">
        <v>148</v>
      </c>
      <c r="B12" s="32" t="str">
        <f>IF(B8=B10,"YES - reconciled","Not yet")</f>
        <v>YES - reconciled</v>
      </c>
    </row>
    <row r="14">
      <c r="A14" s="7" t="s">
        <v>150</v>
      </c>
    </row>
    <row r="15">
      <c r="A15" s="7" t="s">
        <v>151</v>
      </c>
    </row>
    <row r="16">
      <c r="A16" s="7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